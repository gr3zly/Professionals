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t.damelovskaya\Desktop\Типовое ККД цикл 2026 г\Цифровая трансформация\"/>
    </mc:Choice>
  </mc:AlternateContent>
  <xr:revisionPtr revIDLastSave="0" documentId="13_ncr:1_{78D4EC99-41AC-4E07-BC0C-3ED7AA261D1C}" xr6:coauthVersionLast="47" xr6:coauthVersionMax="47" xr10:uidLastSave="{00000000-0000-0000-0000-000000000000}"/>
  <bookViews>
    <workbookView xWindow="-120" yWindow="-120" windowWidth="29040" windowHeight="15840" xr2:uid="{00000000-000D-0000-FFFF-FFFF00000000}"/>
  </bookViews>
  <sheets>
    <sheet name="Критерии оценки" sheetId="1" r:id="rId1"/>
    <sheet name="Перечень профессиональных задач"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78" i="1" l="1"/>
  <c r="I189" i="1"/>
  <c r="I149" i="1"/>
  <c r="I108" i="1"/>
  <c r="I5" i="1"/>
  <c r="I244" i="1" l="1"/>
</calcChain>
</file>

<file path=xl/sharedStrings.xml><?xml version="1.0" encoding="utf-8"?>
<sst xmlns="http://schemas.openxmlformats.org/spreadsheetml/2006/main" count="483" uniqueCount="310">
  <si>
    <t>А</t>
  </si>
  <si>
    <t>Код</t>
  </si>
  <si>
    <t>Тип аспекта</t>
  </si>
  <si>
    <t>Методика проверки аспекта</t>
  </si>
  <si>
    <t>Аспект</t>
  </si>
  <si>
    <t>И</t>
  </si>
  <si>
    <t>С</t>
  </si>
  <si>
    <t>Судейский балл</t>
  </si>
  <si>
    <t>Макс. балл</t>
  </si>
  <si>
    <t>Б</t>
  </si>
  <si>
    <t>В</t>
  </si>
  <si>
    <t>Итого</t>
  </si>
  <si>
    <t>Мероприятие</t>
  </si>
  <si>
    <t>Требование или номинальный размер</t>
  </si>
  <si>
    <t>Наименование компетенции</t>
  </si>
  <si>
    <t>Перечень профессиональных задач</t>
  </si>
  <si>
    <t>Проф. задача</t>
  </si>
  <si>
    <t>Цифровая трансформация</t>
  </si>
  <si>
    <t>Моделирование</t>
  </si>
  <si>
    <t>Безопасная работа</t>
  </si>
  <si>
    <t>Самоорганизация работы</t>
  </si>
  <si>
    <t>Работа с информацией</t>
  </si>
  <si>
    <t>Вопросы</t>
  </si>
  <si>
    <t>Коммуникация с экспертом</t>
  </si>
  <si>
    <t>Соответствие Предметной области и Вопросов</t>
  </si>
  <si>
    <t>Соответствие Содержания источников и Вопросов</t>
  </si>
  <si>
    <t>Содержание гипотезы</t>
  </si>
  <si>
    <t>Формулировка гипотезы</t>
  </si>
  <si>
    <t>Соответствие Предметной области и Содержания гипотезы</t>
  </si>
  <si>
    <t>Представление и оформление Отчета</t>
  </si>
  <si>
    <t>Корректность PEST</t>
  </si>
  <si>
    <t>Соответствие Фактов и PEST-анализа</t>
  </si>
  <si>
    <t>Соответствие Предметной области и PEST-анализа</t>
  </si>
  <si>
    <t>Корректность SWOT-анализа</t>
  </si>
  <si>
    <t>Соответствие Предметной области и SWOT-анализа</t>
  </si>
  <si>
    <t>Соответствие Фактов и SWOT-анализа</t>
  </si>
  <si>
    <t>Соответствие PEST и SWOT-анализа</t>
  </si>
  <si>
    <t>Формулировка стратегии</t>
  </si>
  <si>
    <t>Соответствие SWOT-анализа и Стратегии</t>
  </si>
  <si>
    <t>Соответствие Гипотезы и Стратегии</t>
  </si>
  <si>
    <t>Соответствие Современных ИТ и Стратегии</t>
  </si>
  <si>
    <t>Стратегическая цель</t>
  </si>
  <si>
    <t>Подцели и задачи</t>
  </si>
  <si>
    <t>Соответствие Стратегии и Цели</t>
  </si>
  <si>
    <t>Соответствие Предметной области и Цели</t>
  </si>
  <si>
    <t>Соответствие Цели и Подцелей</t>
  </si>
  <si>
    <t>Декомпозиция целей</t>
  </si>
  <si>
    <t>Менеджмент</t>
  </si>
  <si>
    <t>Показатели эффективности</t>
  </si>
  <si>
    <t>Соответствие Цели и Показателей эффективности</t>
  </si>
  <si>
    <t>Бизнес-процессы</t>
  </si>
  <si>
    <t>Нотация бизнес-процесса</t>
  </si>
  <si>
    <t>Соответствие Предметная области и Бизнес-процессов</t>
  </si>
  <si>
    <t>Реинжиниринг</t>
  </si>
  <si>
    <t>Соответствие Показателей эффективности и Бизнес-процессов</t>
  </si>
  <si>
    <t>Организационная структура</t>
  </si>
  <si>
    <t>Программа реорганизации</t>
  </si>
  <si>
    <t>Соответствие Структуры и Программы реорганизации</t>
  </si>
  <si>
    <t>Соответствие Процессов и Структуры</t>
  </si>
  <si>
    <t>Соответствие Предметной области и Новой структуры</t>
  </si>
  <si>
    <t>Ролевая модель</t>
  </si>
  <si>
    <t>Соответствие Процессов и Функций</t>
  </si>
  <si>
    <t>SWOT-анализ проведен профессионально и применим в рассматриваемой предметной области</t>
  </si>
  <si>
    <t>Стратегия развития учитывает выдвинутую ранее гипотезу</t>
  </si>
  <si>
    <t>Дерево целей построено корректно, соответствует выбранной стратегии</t>
  </si>
  <si>
    <t>Бизнес-процессы хорошо проработаны</t>
  </si>
  <si>
    <t>Перечень основных новых бизнес-процессов достаточен для моделирования деятельности в данной предметной области</t>
  </si>
  <si>
    <t>Ролевая модель позволяет получить понимание сферы ответственности, правах и обязанностях всех сотрудников</t>
  </si>
  <si>
    <t>Новая структура хорошо проработана и соответствует целям цифровой трансформации</t>
  </si>
  <si>
    <t>Программа реорганизации хорошо и детально проработана</t>
  </si>
  <si>
    <t>Функции</t>
  </si>
  <si>
    <t>Функционал цифрового продукта хорошо и профессионально проработан</t>
  </si>
  <si>
    <t>Соответствие Целей и Показателей эффективности</t>
  </si>
  <si>
    <t>Соответствие Предметной области и Бизнес-процессов</t>
  </si>
  <si>
    <t>Возможности оценить работу нет</t>
  </si>
  <si>
    <t>Проектирование</t>
  </si>
  <si>
    <t>Оптимальность UX</t>
  </si>
  <si>
    <t>Дизайн страниц</t>
  </si>
  <si>
    <t>Модель БД</t>
  </si>
  <si>
    <t>Информационные технологии</t>
  </si>
  <si>
    <t>UML</t>
  </si>
  <si>
    <t>Структура Цифрового продукта</t>
  </si>
  <si>
    <t>Соответствие Функционала и UML</t>
  </si>
  <si>
    <t>Соответствие Функционала и Структуры</t>
  </si>
  <si>
    <t>Соответствие Ролевой модели и UML</t>
  </si>
  <si>
    <t>Соответствие UML и Структуры Цифрового продукта</t>
  </si>
  <si>
    <t>Соответствие Ролевой модели и Wireframes-эскизов</t>
  </si>
  <si>
    <t>Соответствие Структуры Цифрового продукта и Wireframes-эскизов</t>
  </si>
  <si>
    <t>Соответствие Предметной области и Дизайна страниц</t>
  </si>
  <si>
    <t>Соответствие Wireframe-эскизов и Дизайна страниц</t>
  </si>
  <si>
    <t>Соответствие Функционала и Модели данных</t>
  </si>
  <si>
    <t>Документирование</t>
  </si>
  <si>
    <t>Программа и методика испытаний</t>
  </si>
  <si>
    <t>Инструкция</t>
  </si>
  <si>
    <t>Техническое задание</t>
  </si>
  <si>
    <t>Соответствие UML и Технического задания</t>
  </si>
  <si>
    <t>Соответствие Структуры Цифрового продукта и Технического задания</t>
  </si>
  <si>
    <t>Соответствие Ролевой модели и Технического задания</t>
  </si>
  <si>
    <t>Соответствие Функционала и Технического задания</t>
  </si>
  <si>
    <t>Соответствие Технического задания и Программы и методики испытаний</t>
  </si>
  <si>
    <t>Соответствие Технического задания и Инструкции</t>
  </si>
  <si>
    <t>Г</t>
  </si>
  <si>
    <t>Д</t>
  </si>
  <si>
    <t>Разработка</t>
  </si>
  <si>
    <t>Внедрение</t>
  </si>
  <si>
    <t>Программное обеспечение</t>
  </si>
  <si>
    <t>Календарное планирование</t>
  </si>
  <si>
    <t>Паспорт проекта</t>
  </si>
  <si>
    <t>Слайды презентации</t>
  </si>
  <si>
    <t>Выступление</t>
  </si>
  <si>
    <t>Экономика и финансы</t>
  </si>
  <si>
    <t>Расчет затрат</t>
  </si>
  <si>
    <t>Соответствие Затрат и Технического задания</t>
  </si>
  <si>
    <t>Соответствие Программы реорганизации и Затрат</t>
  </si>
  <si>
    <t>Кадры и человеческий капитал</t>
  </si>
  <si>
    <t>Матрица компетенций</t>
  </si>
  <si>
    <t>Соответствие Ролевой модели и Матрицы компетенций</t>
  </si>
  <si>
    <t>Соответствие Технического задания и Матрицы компетенций</t>
  </si>
  <si>
    <t>Соответствие Матрицы компетенций и Программы обучения</t>
  </si>
  <si>
    <t>Соответствие Затрат и Программы обучения</t>
  </si>
  <si>
    <t>Соответствие Программы реорганизации и Программы обучения</t>
  </si>
  <si>
    <t>Соответствие Функционала и Wireframes-эскизов</t>
  </si>
  <si>
    <t>Дизайн экранных форм (страниц) хорошо проработан, соответствует ожиданиям от подобного класса цифровых продуктов</t>
  </si>
  <si>
    <t>UML позволяет четко и полностью понять и реализовать проект</t>
  </si>
  <si>
    <t>Техническое задание полностью и точно описывает все требования к цифровому продукту</t>
  </si>
  <si>
    <t>Представленная программа испытаний хорошо проработана, позволяет оптимально протестировать цифровой продукт</t>
  </si>
  <si>
    <t>Пользовательский интерфейс программы соответствует целевой аудитории</t>
  </si>
  <si>
    <t>Соответствие Требований и реализованного Программного обеспечения</t>
  </si>
  <si>
    <t>Результат &gt; Доклад</t>
  </si>
  <si>
    <t>Доклад аргументирует эффективность и ценность проекта цифровой трансформации</t>
  </si>
  <si>
    <t>Доклад проведен информативно, соответствует слайдам презентации</t>
  </si>
  <si>
    <t>Проектная документация хорошо поработана и производит положительное впечатление</t>
  </si>
  <si>
    <t>Матрица компетенций соответствует профессиональным ожиданиям</t>
  </si>
  <si>
    <t>Программа обучения выполнена в соответствии с методическими стандартами</t>
  </si>
  <si>
    <t>Программа обучения</t>
  </si>
  <si>
    <t>В анализе отсутствуют важные аспекты предметной области</t>
  </si>
  <si>
    <t>В анализе присутствуют аспекты вне предметной области</t>
  </si>
  <si>
    <t>Стратегия не противоречит гипотезе</t>
  </si>
  <si>
    <t>Стратегия не в полной мере учитывает гипотезу</t>
  </si>
  <si>
    <t>Достижение всех подцелей приводит к достижению цели</t>
  </si>
  <si>
    <t>Отсутствуют лишние подцели</t>
  </si>
  <si>
    <t>Показатели эффективности позволяют объективно и полностью оценить достижение каждой соответствующей цели (выполнение задачи)</t>
  </si>
  <si>
    <t>Для всех целей и задач приведено достаточно показателей эффективности</t>
  </si>
  <si>
    <t>Отсутствуют лишние показатели эффективности</t>
  </si>
  <si>
    <t>Бизнес-процессы дают общее представление о деятельности</t>
  </si>
  <si>
    <t>Бизнес-процессы достаточны для дальнейшей работы</t>
  </si>
  <si>
    <t>Бизнес-процессы не противоречат практике в предметной области</t>
  </si>
  <si>
    <t>Отсутствуют лишние для предметной области бизнес-процессы</t>
  </si>
  <si>
    <t>Ролевая модель построена для всех сотрудников</t>
  </si>
  <si>
    <t>Ролевая модель описывает права в сфере ИТ</t>
  </si>
  <si>
    <t>Структура охватывает все сферы деятельности</t>
  </si>
  <si>
    <t>Структура достаточна для дальнейшей работы</t>
  </si>
  <si>
    <t>Программа дает общее представление о планах</t>
  </si>
  <si>
    <t>В программе указаны сроки и этапы</t>
  </si>
  <si>
    <t>Перечня функций достаточно для реализации бизнес-процессов</t>
  </si>
  <si>
    <t>Приведено описание каждой функции</t>
  </si>
  <si>
    <t>Представлен дизайн всех страниц</t>
  </si>
  <si>
    <t>Дизайн достаточен для последующей реализации ПО</t>
  </si>
  <si>
    <t>UML дает общее представление о проекте</t>
  </si>
  <si>
    <t>UML упускает некоторые незначительные аспекты проекта</t>
  </si>
  <si>
    <t>Техническое задание полностью описывает функционал</t>
  </si>
  <si>
    <t>Программа испытаний соответсвует функционалу</t>
  </si>
  <si>
    <t>Программа испытаний включает нагрузочное тестирование</t>
  </si>
  <si>
    <t>Техническое задание дает лишь общее понимание работ</t>
  </si>
  <si>
    <t>ПО в целом соответствует заданию</t>
  </si>
  <si>
    <t>Функционал полностью соответствует заданию</t>
  </si>
  <si>
    <t>Соответствие Результата и Доклада</t>
  </si>
  <si>
    <t>Доклад содержит лишь отчет о работе над КЗ</t>
  </si>
  <si>
    <t>Доклад ориентирован на результат работ</t>
  </si>
  <si>
    <t>Доклад проведен без сбоев</t>
  </si>
  <si>
    <t>Доклад вызывает позитивный отклик</t>
  </si>
  <si>
    <t>Проект интересен</t>
  </si>
  <si>
    <t>Представленный проект цифровой трансформации эффективно решает проблематику организации</t>
  </si>
  <si>
    <t>Проект позволяет улучшить уравление</t>
  </si>
  <si>
    <t>Проект содержит все результаты работы над КЗ</t>
  </si>
  <si>
    <t>Проект соответствует требованиям</t>
  </si>
  <si>
    <t>Матрица компетенций проработана для всех сотрудников</t>
  </si>
  <si>
    <t>Матрица компетенций достаточна для обучения</t>
  </si>
  <si>
    <t>Программа соответствует темтике обучения</t>
  </si>
  <si>
    <t>В программе присутствуют темы и длительность обучения</t>
  </si>
  <si>
    <t>Поиск и обработка данных и информации</t>
  </si>
  <si>
    <t>Использование информационных технологий</t>
  </si>
  <si>
    <t>Применение инструментов менеджмента</t>
  </si>
  <si>
    <t>Расчеты экономики</t>
  </si>
  <si>
    <t>Планирование кадровых ресурсов</t>
  </si>
  <si>
    <t>В подготовленных вопросах отсутствуют те, ответы на которых присутствуют в источниках 0,10
В подготовленных вопросах присутствуют те, которые снимают противоречия в разных источниках 0,15</t>
  </si>
  <si>
    <t>Гипотеза описывает будущее состояние предметной области 0,25
Гипотеза описывает значимые показатели предметной области 0,25
Гипотеза интересна, оригинальна, важна, хорошо обоснована 0,25</t>
  </si>
  <si>
    <t>Гипотеза будущего состояния предметной области сформулирована четко, полно, без внутренних противоречий 0,25
Формулировка гипотезы содержит качественные или количественные показатели будущего состояния предметной области 0,10</t>
  </si>
  <si>
    <t>Гипотеза будущего состояния предметной области актуальна для предметной области 0,15
Гипотеза будущего состояния предметной области соответствует трендам 0,10</t>
  </si>
  <si>
    <t>В PEST-анализе все представленные политические факторы относятся к данному типу факторов	0,10
В PEST-анализе все представленные экономические факторы относятся к данному типу факторов 0,10
Все представленные в PEST-анализе социальные факторы относятся к данному типу факторов	0,10
Все представленные в PEST-анализе технологические факторы относятся к данному типу факторов 0,10
Рассчитано средневзвешенное значение каждого фактора PEST-анализа 0,10</t>
  </si>
  <si>
    <t>Политические, экономические и социальные факторов PEST-анализа учитывают выявленные при анализе предметной области факты 0,10
Технологические факторы PEST-анализа учитывают выявленные при анализе предметной области факты 0,20</t>
  </si>
  <si>
    <t>Все представленные в PEST-анализе политические факторы относятся к предметной области 0,10
В предметной области отсутствуют не представленные в PEST-анализе значимые политические факторы 0,10
Все представленные в PEST-анализе экономические факторы относятся к предметной области 0,10
В предметной области отсутствуют не представленные в PEST-анализе значимые экономические факторы 0,10
Все представленные в PEST-анализе социальные факторы относятся к предметной области 0,10
В предметной области отсутствуют не представленные в PEST-анализе значимые социальные факторы 0,10
Все представленные в PEST-анализе технологические факторы относятся к предметной области 0,10
В предметной области отсутствуют не представленные в PEST-анализе значимые технологические факторы 0,10</t>
  </si>
  <si>
    <t>Количество факторов каждого элемента SWOT-матрицы не меньше указанного 0,25
Сильные стороны организации в SWOT-анализе действительно являются элементами ее внутренней среды 0,25
Слабые стороны организации в SWOT-анализе действительно являются элементами ее внутренней среды 0,25
Возможности в SWOT-анализе действительно являются элементами внутренней сред 0,25
Угрозы в SWOT-анализе действительно являются элементами внешней среды 0,25</t>
  </si>
  <si>
    <t>В SWOT-анализе отражены все особенности предметной области 0,50
Факторы SWOT-анализа не противоречат предметной области 0,25</t>
  </si>
  <si>
    <t>Сильные стороны SWOT-анализа соответствуют выявленным фактам 0,10
Слабые стороны SWOT-анализа соответствуют выявленным фактам 0,10
Возможности SWOT-анализа соответствуют выявленным фактам 0,10
Угрозы SWOT-анализа соответствуют выявленным фактам 0,10</t>
  </si>
  <si>
    <t>В SWOT-анализе присутствуют все выявленные в PEST-анализе факторы внешней среды	0,25</t>
  </si>
  <si>
    <t>Стратегия развития сформулирована полно и точно 0,20
Стратегия развития сформулирована как использование каких-либо факторов в заданных целях 0,50</t>
  </si>
  <si>
    <t>Стратегия развития соответствует SWOT-матрице 0,10</t>
  </si>
  <si>
    <t>Стратегия развития учитывает современное состояние и тренды в ИТ 0,10</t>
  </si>
  <si>
    <t>Стратегическая цель развития представлена по SMART 0,25</t>
  </si>
  <si>
    <t>Каждая подцель дерева целей сформулирована по SMART	0,25
Каждая задача дерева целей сформулирована по SMART 0,25</t>
  </si>
  <si>
    <t>Стратегическая цель соответствует выбранной стратегии, не носит признака "Цель ради цели" 0,25</t>
  </si>
  <si>
    <t>Для стратегической цели определен интересант (ЛПР) 0,25
Возможности и ресурсы интересанта соответствуют стратегической цели 0,25
Все компоненты SMART всех целей, подцелей и задач из дерева целей соответствуют предметной области 0,25
Дерево целей и задач оптимально для данной предметной области 0,50</t>
  </si>
  <si>
    <t>Для стратегической цели в дереве целей представлены подцели 0,25
Достижение всех дочерних подцелей автоматически означает достижение основной цели 0,50
Среди подцелей любой основной цели отсутствует подцель, достижение которой необязательно для достижения основной цели 0,15
Все цели, не содержащие собственных подцелей, и интересант которых не может достичь ее самостоятельно, содержат задачи 0,15
Выполнение всех дочерних задач цели автоматически означает достижение цели 0,15
Каждый набор задач достаточен для достижения соответствующей цели 0,15
Отсутствует задача, которая не требуется для достижения соответствующей ей цели 0,15</t>
  </si>
  <si>
    <t>Количество подцелей в дереве целей не меньше указанного 0,10
Количество уровней подцелей в дереве целей не меньше указанного	0,15
Количество задач в дереве целей не меньше указанного 0,15
Для всех целей указаны заинтересованные в их достижении ЛПР 0,15
Для каждой цели и заинтересованного в ее достижении ЛПР указаны его ценности, которые помогает обретать цель 0,15
Для каждой задачи дерева целей определен исполнитель	0,15
Каждый исполнитель задачи входит в подчинение ЛПР соответствующей задаче цели, или ЛПР цели более высокого уровня 0,15</t>
  </si>
  <si>
    <t>Количество качественных показателей эффективности достижения глобальной цели не меньше указанного 0,25
Количество количественных показателей эффективности достижения глобальной цели не меньше указанного 0,25</t>
  </si>
  <si>
    <t>Показатели эффективности приведены для всех целей и задач дерева целей 0,25</t>
  </si>
  <si>
    <t>Представлены новые основные бизнес-процессы (обеспечивают создание конечной ценности) 0,25
Представлены новые обеспечивающие процессы (направленны на внутреннего потребителя организации) 0,25
Представлены новые бизнес-процессы управления (определение целей, планирование, принятие решений и т.д.) 0,25
Представлены новые бизнес-процессов развития (направленны на получение новых продуктов)	0,25
Уровень детализации новых основных бизнес-процессов достаточен для дальнейшего проектирования цифрового продукта 0,25</t>
  </si>
  <si>
    <t>Все представленные новые бизнес-процессы приведены в условно-графическом виде 0,50
Все представленные новые бизнес-процессы описаны (смоделированы) в требуемой нотации без ошибок 1,00</t>
  </si>
  <si>
    <t>Все новые бизнес-процессы возможно реализовать в предметной области 0,50
Представленные новые бизнес-процессы оригинальны, позволяют достичь цели оптимальным и наиболее эффективным путем 1,00</t>
  </si>
  <si>
    <t>Зафиксировано объединение бизнес-процессов на основе внедрения цифрового продукта 0,25
Зафиксирована уменьшение длины бизнес-процесса на основе внедрения цифрового продукта 0,25
Зафиксировано уменьшение количества бизнес-процессов на  фоне внедрения цифрового продукта 0,25
Основные бизнес-процессы используют новый цифровой продукт 0,50
Представлен и обоснован список неэффективных бизнес-процессов, подвергшихся реинжинирингу 0,25</t>
  </si>
  <si>
    <t>Ввод новых бизнес-процессов позволит достичь предложенных показателей эффективности 0,50</t>
  </si>
  <si>
    <t>Представленная программа реорганизации соответствует методике ADKAR  0,25
Мероприятий программы реорганизации достаточно для завершения изменений 0,10
В программе реорганизации отсутствуют лишние мероприятия 0,10
В представленной программе реорганизации присутствуют этап Информирования 0,10
В представленной программе реорганизации присутствуют этап Мотивации 0,10
В представленной программе реорганизации присутствуют этап Обучения 0,10
В представленной программе реорганизации присутствуют этап Реализации 0,10
В представленной программе реорганизации присутствуют этап Поддержки 0,10</t>
  </si>
  <si>
    <t>Представленная программа реорганизации учитывает оправданную ликвидацию части подразделений старой структуры 0,10
Представленная программа реорганизации учитывает создание новых структурных подразделений 0,10
Представленная программа реорганизации учитывает оправданную трансформацию и сохранение части структурных подразделений 0,10
Представленной программы реорганизации достаточно для трансформации старой структуры в новую 0,10</t>
  </si>
  <si>
    <t>Степень детализации новой организационной структуры достаточна для сопоставления с новыми бизнес-процессами 0,25
Новая организационная структура достаточна для реализации новых бизнес-процессов 0,25
Новая организационная структура не избыточна для реализации новых бизнес-процессов 0,15
Новая организационная структура наилучшим образом подходит для реализации новых бизнес-процессов  0,25</t>
  </si>
  <si>
    <t>Новая организационная структура реализуема в указанной предметной области 0,10
Новая организационная структура наилучшим образом подходит к указанной предметной области 0,25</t>
  </si>
  <si>
    <t>Представлена ролевая модель организации 0,10
Содержание и форма представления ролевой модели достаточны для определения полномочий и обязанностей каждого сотрудника 0,15</t>
  </si>
  <si>
    <t>Степень детализации функций цифрового продукта достаточна для последующей разработки 0,50</t>
  </si>
  <si>
    <t>Представлена структура цифрового продукта в графическом виде 0,10
Приведена корректная матрица соответствия элементов структуры цифрового продукта и его функций 0,25
Количество экранных форм (страниц) не меньше указанного 0,15</t>
  </si>
  <si>
    <t>UML однозначно описывает весь функционал цифрового продукта 1,00
UML детализирует все функции в достаточной для ИТ-разработки мере 1,00</t>
  </si>
  <si>
    <t>В структуре присутствуют все необходимые элементы для реализации всего функционала 0,50
В структуре отсутствуют элементы для которых не определен функционал 0,10</t>
  </si>
  <si>
    <t>UML описывает все категории пользователей из ролевой модели, которые будут использовать цифровой продукт  0,50</t>
  </si>
  <si>
    <t>Элементов и связей структуры цифрового продукта достаточно для реализации модели UML 0,50</t>
  </si>
  <si>
    <t>Информационные элементы на wireframe-эскизах размещены в соответствии с пользовательскими ожиданиями 0,15
Управляющие элементы на wireframe-эскизах размещены в соответствии с пользовательскими ожиданиями 0,25
Навигационные элементы на wireframe-эскизах размещены в соответствии с пользовательскими ожиданиями 0,25</t>
  </si>
  <si>
    <t>Элементов экранных форм на wireframe-эскизах достаточно для реализации всего функционала цифрового продукта 0,25
Элементов экранных форм на каждом wireframe-эскизе достаточно для реализации связанного с данным эскизом функционала 0,50</t>
  </si>
  <si>
    <t>Для категорий пользователей с значительно отличающимися правами представлены уникальные наборы wireframe-эскизов 0,15
Отсутствует пересечение элементов с эксклюзивным доступом разных категорий пользователей на одном wireframe-эскизе 0,10</t>
  </si>
  <si>
    <t>Для каждого элемента структуры цифрового продукта представлен Wireframe-эскиз 0,10
Навигационные элементы на всех wireframe-эскизах достаточно для осуществления связей между элементами структуры 0,15</t>
  </si>
  <si>
    <t>Дизайн всех экранных форм (страниц) соответствует целевой аудитории цифрового продукта 0,25
Дизайн всех экранных форм (страниц) соответствует предметной области 0,25</t>
  </si>
  <si>
    <t>Для каждого wireframes-эскиза представлен соответствующий ему дизайн страницы 0,10
Каждый дизайн экранной формы (страницы) поэлементно соответствует wireframe-эскизу (с точностью до сохранения топологии) 0,15</t>
  </si>
  <si>
    <t>Модель данных позволяет хранить все необходимые для функционирования цифрового продукта данные  0,25
В модели данных отсутствуют атрибуты или сущности, не используемые в цифровом продукте 0,25</t>
  </si>
  <si>
    <t>В ПМИ указаны испытания, предусматривающие для доступа к приватной части цифрового продукта аутентификацию 0,25
В ПМИ указаны испытания, предусматривающие для регистрации внешнего пользователя двухфакторную аутентификацию 0,25
В ПМИ указаны испытания, предусматривающие при регистрации пользователя получение согласия на обработку персональных данных 0,50
В ПМИ указаны испытания, предусматривающие при регистрации пользователя подтверждение Правил работы с цифровым продуктом 0,50
В ПМИ указаны испытания, предусматривающие проверку информационной безопасности цифрового продукта 0,50</t>
  </si>
  <si>
    <t>Техническое задание оформлено в соответствии с заданным стандартом 0,50</t>
  </si>
  <si>
    <t>Программа и методика испытаний оформлена в соответствии с заданным стандартом 0,50</t>
  </si>
  <si>
    <t>Для реализации цифрового продукта выбран технологический стек, позволяющий наиболее просто реализовать требования к нему  0,50
Недостатки выбранного технологического стека не критичны для среды использования цифрового продукта 0,50
Техническое задание не содержит противоречивых требований 0,25
В Техническом задании приведены требования ко всем используемым аппаратным средствам 0,10</t>
  </si>
  <si>
    <t>Техническое задание не противоречит диаграммам UML 0,25</t>
  </si>
  <si>
    <t>В Техническом задании приведены требования для всех экранных форм (страниц) 0,15</t>
  </si>
  <si>
    <t>В Техническом задании приведен режим доступа всех пользователей из ролевой модели ко всем экранным формам (страницам) 0,10</t>
  </si>
  <si>
    <t>В Техническом задании указан весь функционал цифрового продукта 0,10
Указанных в Техническом задании требований к реализации каждой функции достаточно для начата ИТ-разработки 0,50</t>
  </si>
  <si>
    <t>Представленная программа испытаний позволяет полностью провести функциональное тестирование 0,25
Представленная программа испытаний позволяет полностью провести нагрузочное тестирование 0,15</t>
  </si>
  <si>
    <t>В Программе и методике испытаний отражены все функции из Технического задания 0,15
В Программе и методике испытаний отражены все категории пользователей (режим доступа) из Технического задания 0,15</t>
  </si>
  <si>
    <t>Инструкция пользователя хорошо структурирована 0,25
В инструкции пользователя отсутствует некорректная и/или жаргонная терминология 0,25
В Инструкции пользователя представлен F.A.Q. с количеством вопросов и ответов не меньше указанного 0,25
Инструкция пользователя подробно и точно раскрывает порядок действия для каждой описанной в ней функции 0,25</t>
  </si>
  <si>
    <t>F.A.Q. Содержит типовые вопросы и ответы для всех пользователей цифрового продукта, указанных в Техническом задании 0,25
Инструкция пользователя содержит раздел по установке цифрового продукта 0,25
В инструкции пользователя приведены пользовательские кейсы для всех пользователей, указанных в Техническом задании 0,25</t>
  </si>
  <si>
    <t>В приложении реализованы все представленные функциональные требования 1,00
В приложении реализованы все представленные технические требования 1,00</t>
  </si>
  <si>
    <t>Все слайды презентации оформлены в едином стиле 0,15
Количество слайдов в презентации соответствует требуемому 0,15
В презентацию интегрировано видео 0,25
В презентации использованы скриншоты экрана 0,15
В презентации использована инфографика 0,25
Время презентации соответствует заданному диапазону 0,15</t>
  </si>
  <si>
    <t>В Программе реализации представлены контрольные точки 0,10
Для каждой контрольной точки Программы реорганизации указаны планируемые результаты 0,15
Результаты достижения контрольных точек последовательно подводят к завершению трансформации организации 0,25</t>
  </si>
  <si>
    <t>Техническая информация в Паспорте проекта оформлена в виде Приложения 0,25</t>
  </si>
  <si>
    <t>Представлен формальный расчет затрат на проектирование и производство цифрового продукта 0,50
Представлен формальный расчет затрат на внедрение цифрового продукта 0,50
Представлен формальный расчет затрат на эксплуатацию цифрового продукта 0,50
Представлен формальный расчет затрат на проведение реорганизации	 0,50</t>
  </si>
  <si>
    <t>Затраты на разработку цифрового продукта обоснованы в соответствии с ТЗ 0,50
Оценка затрат на разработку цифрового продукта соответствует указанным в ТЗ техническим и функциональным требованиям 0,50
В затратах отсутствуют покупки технических средств, не отраженных в Т 0,50</t>
  </si>
  <si>
    <t>В затратах учтены модернизируемые элементы новой схемы ИТ-инфраструктуры 0,50
В затратах учтены все мероприятия программы реорганизации 0,50</t>
  </si>
  <si>
    <t>Представлен список цифровых компетенций 0,25
Для всех цифровых компетенций указаны индикаторы освоения (Знать, Уметь) 0,25
Представлены цифровые компетенции Soft- и Hard-skills 0,25
В матрице цифровых компетенций установлено соответствие всех компетенций и всех сотрудников 0,25</t>
  </si>
  <si>
    <t>Матрица цифровых компетенций задана для всех участников ролевой модели, взаимодействующих с цифровым продуктом  0,25
Для всех сотрудников приведенных цифровых компетенций достаточно для работы с цифровым продуктом в соответствии с их ролью 1,00</t>
  </si>
  <si>
    <t>Набор и уровень цифровых компетенций (индикаторы освоения) достаточны для работы с цифровым продуктом 1,00</t>
  </si>
  <si>
    <t>В примерной программе обучения для каждого модуля указаны темы 0,25
В примерной программе обучения указана длительность и тип занятий (лекция, практика и т.п.) для каждой темы 0,25
В примерной программе обучения для каждой темы указаны результаты освоения (индикаторы освоения компетенций из списка) 0,50
Результаты освоения всех тем модуля полностью соответствуют результатам освоения соответствующей компетенции 0,50
Примерная программа обучения оформлена в соответствии с требованиями законодательства и нормативных актов 0,50</t>
  </si>
  <si>
    <t>В примерной программе обучения каждой компетенции матрицы соответствует отдельный модуль 0,50
Корректно определено количество обучающихся по каждому модулю 0,50
Темы и результаты освоения примерной программы обучения релевантные матрице компетенции 0,50</t>
  </si>
  <si>
    <t>В расчете затрат учтено обучение всех сотрудников в соответствии с временем обучения и количеством обучающихся по каждой теме 0,50</t>
  </si>
  <si>
    <t>В программе реорганизации срок обучения совпадает с временем обучения сотрудников в соответствии с Программой обучения 0,50</t>
  </si>
  <si>
    <t xml:space="preserve">При общении с экспертом звучит приветствие, прощание, благодарности за ответы 0,5
Вопросы эксперту заданы чётко, без запинок, без повторов других вопросов, в вежливой форме 0,5
От эксперта получены содержательные ответы на все заданные вопросы 0,5
</t>
  </si>
  <si>
    <t>Подготовленные вопросы носят позитивный оттенок, мотивируют заказчика дать наиболее точный и правильный ответ 0,5
Подготовлен список вопросов эксперту в указанном количестве 0,5
Подготовленные вопросы сформулированы грамотно и точно, использована методика опроса 0,5</t>
  </si>
  <si>
    <t>Все подготовленные вопросы направлены на уточнение фактического состояния предметной области 0,5
Полученных от эксперта ответов и фактов достаточно для снятия всех неопределенностей при формулировке гипотезы 0,5</t>
  </si>
  <si>
    <t>Представлена диаграмма последовательности без ошибок нотации UML (первая в перечне) 0,25
Представлена диаграмма прецедентов без ошибок нотации UML (первая в перечне) 0,25
В UML без ошибок нотации представлены диаграммы различных типов, количество которых не меньше указанного 0,25</t>
  </si>
  <si>
    <t>Каждый дизайн экранной формы (страницы) представлен как минимум в 2-х вариантах: активные и неактивные элементы 0,5
Формат и размер дизайна экранных форм достаточен для его оценки и соответствует предполагаемым средствам визуализации 1</t>
  </si>
  <si>
    <t>Представлены ключевые архитектурные принципы будущей организационной структуры (тип, иерархия, гибкость, устойчивость)</t>
  </si>
  <si>
    <t>Схема оргструктуры</t>
  </si>
  <si>
    <t>Недостатки выбранного типа новой организационной структуры не критичны для новых бизнес-процессов 0,25
Сильные стороны выбранного типа новой организационной структуры важны для новых бизнес-процессов 0,15</t>
  </si>
  <si>
    <t>Схема структуры соответствует описанию. Степень детализации с учетом кейса</t>
  </si>
  <si>
    <t>Сценарии взаимодействия между ролями</t>
  </si>
  <si>
    <t>Представлено взаимодействие не менее 2-х ролей</t>
  </si>
  <si>
    <t xml:space="preserve">Функционал позволяет проводить все представленные новые бизнес-процессы 0,5
Функционал не содержит избыточных функций, которые не используются и не имеют перспектив использования в дальнейшем 0,50
</t>
  </si>
  <si>
    <t>Карта рисков</t>
  </si>
  <si>
    <t>Карта рисков представлена в соответсвии с заданием 0,5
Представлены меры по их нейтрализации 0,5</t>
  </si>
  <si>
    <t>Матрица проблем</t>
  </si>
  <si>
    <t>Матрица «проблема — заинтересованная сторона — интерес — конфликт» соответствует кейсу</t>
  </si>
  <si>
    <t xml:space="preserve">План-график ключевых изменений </t>
  </si>
  <si>
    <t>Предствлен план-график изменений в соответствии со стратегией</t>
  </si>
  <si>
    <t>Профиль кейсовой организации</t>
  </si>
  <si>
    <t>Представлен краткий визуальный профиль кейсовой организации в формате «организация в 1 слайде»: ключевые характеристики, уровень зрелости процессов, предположения о контексте изменений</t>
  </si>
  <si>
    <t>Архитектура отказоустойчивости и модели интеграции с внешними системами</t>
  </si>
  <si>
    <t>Разработана архитектурную схему развертывания (deployment diagram) - 0,5
Определены внешние зависимости - 0,25
Предсатвлен как минимум 1 сценарий отказоустойчивости - 0,5</t>
  </si>
  <si>
    <t>Обзор аналогов</t>
  </si>
  <si>
    <t xml:space="preserve">Предстален в соответствии с заданием </t>
  </si>
  <si>
    <t>Архитектурная схема развертывания</t>
  </si>
  <si>
    <t>Схема соотвествует требованиям и отражает кейс</t>
  </si>
  <si>
    <t>Схема  хорошо и детально проработана</t>
  </si>
  <si>
    <t xml:space="preserve">Экономические метрики </t>
  </si>
  <si>
    <t>Определены метрики для отслеживания эффекта от трансформации - 0,5
Метрики соответсвуют проекту цифровой трансформации на основании  кейса  - 0,5</t>
  </si>
  <si>
    <t>Рассчеты метрик</t>
  </si>
  <si>
    <t>Представлены расчёты на примере трёх сценариев: пессимистичного - 0,5, реалистичного  -0,5  и оптимистичного (анализ чувствительности) 0,5 .</t>
  </si>
  <si>
    <t>Для всех сущностей модели (схемы) данных приведены атрибуты 0,5
В модели(схеме) данных указаны первичные и вторичные ключи 0,5
Модель данных соответствует заданной нотации 0,25
Модель данных потенциально непротиворечива (одни и те же данные не хранятся в разных таблицах, если использованы реляционные БД)	 0,25
Модель данных нормализована в третью нормальную форму или оправдано использованы нереляционные базы данных 0,50</t>
  </si>
  <si>
    <t>На схеме присутствует все компоненты и их характеристики</t>
  </si>
  <si>
    <t>Представлено описание архитектуры и выбранных технологий реализации, а также причины, по которым они были выбраны</t>
  </si>
  <si>
    <t>Представлены результаты минимального набора ручных или автоматических тестов, подтверждающих корректность работы ключевых функций</t>
  </si>
  <si>
    <t>Минимальные функции реализованы</t>
  </si>
  <si>
    <t>Разработаны 2 сценария критических ситуаций (форс-мажор, сопротивление персонала, сбой в ИТ-системе) и план реагирования на них в виде contingency-plan</t>
  </si>
  <si>
    <t>Представлена оценка возможных рисков при масштабировании проекта на всю организацию или на другие территории</t>
  </si>
  <si>
    <t xml:space="preserve">Разработан регламент сопровождения внедрённой системы </t>
  </si>
  <si>
    <t>Учтены поддержка, обновления, обратная связь, оценка устойчивости</t>
  </si>
  <si>
    <t>Разработан инвестиционный план с расчетом срока окупаемости (ROI/Payback) по двум сценариям: базовому и стрессовому</t>
  </si>
  <si>
    <t>План разработан  - 0, 25
Рассчитан срок окупаемости - 1,0
Срок окупаемсти рассчитан по двум сценариям  - 0,75</t>
  </si>
  <si>
    <t>При оформлении отчета использован один бесплатный свободно распространяемый шрифт 0,10
На первой странице отчета указаны наименование документа и ФИО авторf 0,15
На первой странице отчета отсутствует нумерация 0,10
Вторая и последующая страницы отчета пронумерованы 0,15
В отчете отсутствуют два или более пробелов подряд 0,15
Все изображения в отчете имеют нумерацию и наименование 0,10
Все таблицы в отчете имеют нумерацию и наименование 0,15
Для представления результатов анализа использована инфографика 0,10
Отчет сохранен в форматах PDF и DOCX 0,25
Имя файла отчета соответствует заданной маске 0,10
Размер файла с отчетом не превышает заданный размер в мегабайтах 0,15</t>
  </si>
  <si>
    <t>Соответствие Гипотез и Стратегии</t>
  </si>
  <si>
    <t>Стратегия развития не противоречит выдвинутой ранее гипотезе 0,10 (долговременная и кратковременная)</t>
  </si>
  <si>
    <t>Модель БД (ER-диаграмма)</t>
  </si>
  <si>
    <t xml:space="preserve">Доклад во время презентации проведен уверенно и без технических сбоев
</t>
  </si>
  <si>
    <t>Соответствие диаграммы развертывания и Технического задания</t>
  </si>
  <si>
    <t>в ТЗ указаны все компоненты диаграммы развертывания</t>
  </si>
  <si>
    <t xml:space="preserve">Критические ситуации представлены - 0,5
Представлен план реагирования - 1
</t>
  </si>
  <si>
    <t>В работе соблюдаются требования ТБ и ОТ 0,3
Перед выключением компьютера все приложения закрыты  0,15
После окончания работы удалены файлы из Корзины  	0,10
После окончания работы удалены данные из браузера  0,15
В работе используется только отечественное  ПО 0,3</t>
  </si>
  <si>
    <t>Организация безопасной работы и бережливое производство</t>
  </si>
  <si>
    <t>Региональный этап Чемпионата по профессиональному мастерству "Профессионалы"</t>
  </si>
  <si>
    <t>Субкритерий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</si>
</sst>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charset val="204"/>
      <scheme val="minor"/>
    </font>
    <font>
      <b/>
      <sz val="14"/>
      <color theme="1"/>
      <name val="Calibri"/>
      <family val="2"/>
      <scheme val="minor"/>
    </font>
    <font>
      <sz val="12"/>
      <color rgb="FFFF0000"/>
      <name val="Calibri"/>
      <family val="2"/>
      <charset val="204"/>
      <scheme val="minor"/>
    </font>
    <font>
      <sz val="9"/>
      <color theme="1"/>
      <name val="Times New Roman"/>
      <family val="1"/>
      <charset val="204"/>
    </font>
    <font>
      <sz val="12"/>
      <name val="Calibri"/>
      <family val="2"/>
      <scheme val="minor"/>
    </font>
    <font>
      <b/>
      <sz val="14"/>
      <color theme="1"/>
      <name val="Times New Roman"/>
      <family val="1"/>
      <charset val="204"/>
    </font>
    <font>
      <sz val="12"/>
      <color theme="1"/>
      <name val="Times New Roman"/>
      <family val="1"/>
      <charset val="204"/>
    </font>
    <font>
      <sz val="12"/>
      <color rgb="FF000000"/>
      <name val="Times New Roman"/>
      <family val="1"/>
      <charset val="204"/>
    </font>
    <font>
      <sz val="12"/>
      <color rgb="FFFF0000"/>
      <name val="Times New Roman"/>
      <family val="1"/>
      <charset val="204"/>
    </font>
    <font>
      <i/>
      <sz val="9"/>
      <color theme="3"/>
      <name val="Times New Roman"/>
      <family val="1"/>
      <charset val="204"/>
    </font>
    <font>
      <b/>
      <sz val="14"/>
      <name val="Times New Roman"/>
      <family val="1"/>
      <charset val="204"/>
    </font>
    <font>
      <b/>
      <sz val="12"/>
      <name val="Times New Roman"/>
      <family val="1"/>
      <charset val="204"/>
    </font>
    <font>
      <b/>
      <sz val="14"/>
      <color theme="1" tint="0.499984740745262"/>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2" borderId="0" xfId="0" applyFont="1" applyFill="1"/>
    <xf numFmtId="0" fontId="0" fillId="2" borderId="0" xfId="0" applyFill="1" applyAlignment="1">
      <alignment horizontal="right"/>
    </xf>
    <xf numFmtId="0" fontId="0" fillId="2" borderId="0" xfId="0" applyFill="1" applyAlignment="1">
      <alignment horizontal="center"/>
    </xf>
    <xf numFmtId="0" fontId="0" fillId="2" borderId="0" xfId="0" quotePrefix="1" applyFill="1" applyAlignment="1">
      <alignment horizontal="left"/>
    </xf>
    <xf numFmtId="0" fontId="0" fillId="2" borderId="0" xfId="0" applyFill="1" applyAlignment="1">
      <alignment vertical="center" wrapText="1"/>
    </xf>
    <xf numFmtId="0" fontId="0" fillId="2" borderId="0" xfId="0" applyFill="1" applyAlignment="1">
      <alignment wrapText="1"/>
    </xf>
    <xf numFmtId="0" fontId="0" fillId="2" borderId="0" xfId="0" applyFill="1" applyAlignment="1">
      <alignment vertical="center"/>
    </xf>
    <xf numFmtId="0" fontId="0" fillId="2" borderId="0" xfId="0" applyFill="1"/>
    <xf numFmtId="0" fontId="2" fillId="2" borderId="0" xfId="0" applyFont="1" applyFill="1"/>
    <xf numFmtId="0" fontId="3" fillId="2" borderId="1" xfId="0" applyFont="1" applyFill="1" applyBorder="1" applyAlignment="1">
      <alignment vertical="top"/>
    </xf>
    <xf numFmtId="0" fontId="4" fillId="2" borderId="0" xfId="0" applyFont="1" applyFill="1"/>
    <xf numFmtId="0" fontId="4" fillId="2" borderId="0" xfId="0" applyFont="1" applyFill="1" applyAlignment="1">
      <alignment vertical="center" wrapText="1"/>
    </xf>
    <xf numFmtId="0" fontId="4" fillId="2" borderId="0" xfId="0" applyFont="1" applyFill="1" applyAlignment="1">
      <alignment wrapText="1"/>
    </xf>
    <xf numFmtId="0" fontId="4" fillId="2" borderId="0" xfId="0" applyFont="1" applyFill="1" applyAlignment="1">
      <alignment vertical="center"/>
    </xf>
    <xf numFmtId="0" fontId="5" fillId="2" borderId="1" xfId="0" applyFont="1" applyFill="1" applyBorder="1" applyAlignment="1">
      <alignment horizontal="center"/>
    </xf>
    <xf numFmtId="0" fontId="5" fillId="2" borderId="1" xfId="0" applyFont="1" applyFill="1" applyBorder="1"/>
    <xf numFmtId="2" fontId="5" fillId="2" borderId="1" xfId="0" applyNumberFormat="1" applyFont="1" applyFill="1" applyBorder="1" applyAlignment="1">
      <alignment vertical="center"/>
    </xf>
    <xf numFmtId="0" fontId="6" fillId="2" borderId="1" xfId="0" applyFont="1" applyFill="1" applyBorder="1" applyAlignment="1">
      <alignment horizontal="center" vertical="top"/>
    </xf>
    <xf numFmtId="0" fontId="6" fillId="2" borderId="1" xfId="0" applyFont="1" applyFill="1" applyBorder="1" applyAlignment="1">
      <alignment vertical="top"/>
    </xf>
    <xf numFmtId="0" fontId="6" fillId="2" borderId="1" xfId="0" applyFont="1" applyFill="1" applyBorder="1" applyAlignment="1">
      <alignment vertical="center" wrapText="1"/>
    </xf>
    <xf numFmtId="0" fontId="6" fillId="2" borderId="1" xfId="0" applyFont="1" applyFill="1" applyBorder="1" applyAlignment="1">
      <alignment vertical="top" wrapText="1"/>
    </xf>
    <xf numFmtId="2" fontId="6" fillId="2" borderId="1" xfId="0" applyNumberFormat="1" applyFont="1" applyFill="1" applyBorder="1" applyAlignment="1">
      <alignment vertical="top"/>
    </xf>
    <xf numFmtId="0" fontId="6" fillId="2" borderId="1" xfId="0" applyFont="1" applyFill="1" applyBorder="1" applyAlignment="1">
      <alignment vertical="center"/>
    </xf>
    <xf numFmtId="0" fontId="7" fillId="2" borderId="1" xfId="0" applyFont="1" applyFill="1" applyBorder="1" applyAlignment="1">
      <alignment horizontal="center" vertical="top"/>
    </xf>
    <xf numFmtId="0" fontId="7" fillId="2" borderId="1" xfId="0" applyFont="1" applyFill="1" applyBorder="1" applyAlignment="1">
      <alignment vertical="top" wrapText="1"/>
    </xf>
    <xf numFmtId="0" fontId="8" fillId="2" borderId="1" xfId="0" applyFont="1" applyFill="1" applyBorder="1" applyAlignment="1">
      <alignment horizontal="center" vertical="top"/>
    </xf>
    <xf numFmtId="0" fontId="8" fillId="2" borderId="1" xfId="0" applyFont="1" applyFill="1" applyBorder="1" applyAlignment="1">
      <alignment vertical="top"/>
    </xf>
    <xf numFmtId="0" fontId="8" fillId="2" borderId="1" xfId="0" applyFont="1" applyFill="1" applyBorder="1" applyAlignment="1">
      <alignment vertical="top" wrapText="1"/>
    </xf>
    <xf numFmtId="2" fontId="8" fillId="2" borderId="1" xfId="0" applyNumberFormat="1" applyFont="1" applyFill="1" applyBorder="1" applyAlignment="1">
      <alignment vertical="top"/>
    </xf>
    <xf numFmtId="0" fontId="9" fillId="2" borderId="1" xfId="0" applyFont="1" applyFill="1" applyBorder="1" applyAlignment="1">
      <alignment horizontal="left" vertical="top"/>
    </xf>
    <xf numFmtId="0" fontId="6" fillId="2" borderId="1" xfId="0" applyFont="1" applyFill="1" applyBorder="1" applyAlignment="1">
      <alignment wrapText="1"/>
    </xf>
    <xf numFmtId="0" fontId="6" fillId="2" borderId="1" xfId="0" applyFont="1" applyFill="1" applyBorder="1" applyAlignment="1">
      <alignment horizontal="right"/>
    </xf>
    <xf numFmtId="0" fontId="6" fillId="2" borderId="1" xfId="0" applyFont="1" applyFill="1" applyBorder="1"/>
    <xf numFmtId="0" fontId="6" fillId="2" borderId="1" xfId="0" applyFont="1" applyFill="1" applyBorder="1" applyAlignment="1">
      <alignment horizontal="center"/>
    </xf>
    <xf numFmtId="0" fontId="11" fillId="3" borderId="1" xfId="0" applyFont="1" applyFill="1" applyBorder="1" applyAlignment="1">
      <alignment horizontal="center" vertical="center" wrapText="1"/>
    </xf>
    <xf numFmtId="0" fontId="5" fillId="2" borderId="1" xfId="0" applyFont="1" applyFill="1" applyBorder="1" applyAlignment="1">
      <alignment vertical="top" wrapText="1"/>
    </xf>
    <xf numFmtId="0" fontId="5" fillId="2" borderId="1" xfId="0" applyFont="1" applyFill="1" applyBorder="1" applyAlignment="1">
      <alignment horizontal="center" vertical="top"/>
    </xf>
    <xf numFmtId="0" fontId="5" fillId="4" borderId="1" xfId="0" applyFont="1" applyFill="1" applyBorder="1" applyAlignment="1">
      <alignment horizontal="center"/>
    </xf>
    <xf numFmtId="0" fontId="5" fillId="4" borderId="1" xfId="0" applyFont="1" applyFill="1" applyBorder="1"/>
    <xf numFmtId="0" fontId="5" fillId="4" borderId="1" xfId="0" applyFont="1" applyFill="1" applyBorder="1" applyAlignment="1">
      <alignment vertical="top" wrapText="1"/>
    </xf>
    <xf numFmtId="0" fontId="5" fillId="4" borderId="1" xfId="0" applyFont="1" applyFill="1" applyBorder="1" applyAlignment="1">
      <alignment horizontal="center" vertical="top"/>
    </xf>
    <xf numFmtId="2" fontId="5" fillId="4" borderId="1" xfId="0" applyNumberFormat="1" applyFont="1" applyFill="1" applyBorder="1" applyAlignment="1">
      <alignment vertical="center"/>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0" fontId="6" fillId="3" borderId="1" xfId="0" applyFont="1" applyFill="1" applyBorder="1" applyAlignment="1">
      <alignment horizontal="right"/>
    </xf>
    <xf numFmtId="0" fontId="6" fillId="3" borderId="1" xfId="0" applyFont="1" applyFill="1" applyBorder="1"/>
    <xf numFmtId="0" fontId="6" fillId="3" borderId="1" xfId="0" applyFont="1" applyFill="1" applyBorder="1" applyAlignment="1">
      <alignment horizontal="center"/>
    </xf>
    <xf numFmtId="0" fontId="6" fillId="3" borderId="1" xfId="0" applyFont="1" applyFill="1" applyBorder="1" applyAlignment="1">
      <alignment vertical="top" wrapText="1"/>
    </xf>
    <xf numFmtId="0" fontId="6" fillId="3" borderId="1" xfId="0" applyFont="1" applyFill="1" applyBorder="1" applyAlignment="1">
      <alignment horizontal="center" vertical="top"/>
    </xf>
    <xf numFmtId="0" fontId="10" fillId="3" borderId="1" xfId="0" applyFont="1" applyFill="1" applyBorder="1" applyAlignment="1">
      <alignment horizontal="left" vertical="top" wrapText="1"/>
    </xf>
    <xf numFmtId="0" fontId="10" fillId="3" borderId="1" xfId="0" applyFont="1" applyFill="1" applyBorder="1" applyAlignment="1">
      <alignment horizontal="center" vertical="center" wrapText="1"/>
    </xf>
    <xf numFmtId="2" fontId="10" fillId="3" borderId="1" xfId="0" applyNumberFormat="1" applyFont="1" applyFill="1" applyBorder="1" applyAlignment="1">
      <alignment horizontal="center" vertical="center" wrapText="1"/>
    </xf>
    <xf numFmtId="0" fontId="6" fillId="0" borderId="0" xfId="0" applyFont="1"/>
    <xf numFmtId="0" fontId="6" fillId="0" borderId="1" xfId="0" applyFont="1" applyBorder="1" applyAlignment="1">
      <alignment horizontal="center" wrapText="1"/>
    </xf>
    <xf numFmtId="0" fontId="6" fillId="0" borderId="1" xfId="0" applyFont="1" applyBorder="1"/>
    <xf numFmtId="0" fontId="6" fillId="0" borderId="0" xfId="0" applyFont="1" applyAlignment="1">
      <alignment wrapText="1"/>
    </xf>
    <xf numFmtId="0" fontId="11" fillId="3" borderId="2" xfId="0" applyFont="1" applyFill="1" applyBorder="1" applyAlignment="1">
      <alignment horizontal="center" vertical="center" wrapText="1"/>
    </xf>
    <xf numFmtId="0" fontId="12" fillId="2" borderId="0" xfId="0" applyFont="1" applyFill="1" applyAlignment="1">
      <alignment horizontal="right" vertical="center"/>
    </xf>
    <xf numFmtId="0" fontId="5" fillId="2" borderId="0" xfId="0" applyFont="1" applyFill="1" applyAlignment="1">
      <alignment horizontal="center"/>
    </xf>
    <xf numFmtId="0" fontId="5" fillId="2" borderId="0" xfId="0" quotePrefix="1" applyFont="1" applyFill="1" applyAlignment="1">
      <alignment vertical="center" wrapText="1"/>
    </xf>
    <xf numFmtId="0" fontId="5" fillId="2" borderId="0" xfId="0" quotePrefix="1" applyFont="1" applyFill="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246"/>
  <sheetViews>
    <sheetView tabSelected="1" zoomScale="70" zoomScaleNormal="70" workbookViewId="0">
      <selection activeCell="E9" sqref="E9"/>
    </sheetView>
  </sheetViews>
  <sheetFormatPr defaultColWidth="11" defaultRowHeight="15.75" x14ac:dyDescent="0.25"/>
  <cols>
    <col min="1" max="1" width="6.875" style="2" customWidth="1"/>
    <col min="2" max="2" width="25.875" style="8" customWidth="1"/>
    <col min="3" max="3" width="9.875" style="3" customWidth="1"/>
    <col min="4" max="4" width="36.5" style="6" customWidth="1"/>
    <col min="5" max="5" width="12.125" style="3" customWidth="1"/>
    <col min="6" max="6" width="89" style="5" customWidth="1"/>
    <col min="7" max="7" width="17.625" style="6" customWidth="1"/>
    <col min="8" max="8" width="7.125" style="6" bestFit="1" customWidth="1"/>
    <col min="9" max="9" width="8.375" style="7" customWidth="1"/>
    <col min="10" max="16384" width="11" style="8"/>
  </cols>
  <sheetData>
    <row r="2" spans="1:9" ht="57" customHeight="1" x14ac:dyDescent="0.3">
      <c r="B2" s="58" t="s">
        <v>12</v>
      </c>
      <c r="C2" s="59"/>
      <c r="D2" s="60" t="s">
        <v>308</v>
      </c>
      <c r="E2" s="4"/>
    </row>
    <row r="3" spans="1:9" ht="39.75" customHeight="1" x14ac:dyDescent="0.3">
      <c r="B3" s="58" t="s">
        <v>14</v>
      </c>
      <c r="C3" s="59"/>
      <c r="D3" s="61" t="s">
        <v>17</v>
      </c>
      <c r="E3" s="4"/>
    </row>
    <row r="4" spans="1:9" ht="47.25" x14ac:dyDescent="0.25">
      <c r="A4" s="35" t="s">
        <v>1</v>
      </c>
      <c r="B4" s="35" t="s">
        <v>309</v>
      </c>
      <c r="C4" s="35" t="s">
        <v>2</v>
      </c>
      <c r="D4" s="35" t="s">
        <v>4</v>
      </c>
      <c r="E4" s="35" t="s">
        <v>7</v>
      </c>
      <c r="F4" s="35" t="s">
        <v>3</v>
      </c>
      <c r="G4" s="35" t="s">
        <v>13</v>
      </c>
      <c r="H4" s="35" t="s">
        <v>16</v>
      </c>
      <c r="I4" s="35" t="s">
        <v>8</v>
      </c>
    </row>
    <row r="5" spans="1:9" s="1" customFormat="1" ht="27" customHeight="1" x14ac:dyDescent="0.3">
      <c r="A5" s="43" t="s">
        <v>0</v>
      </c>
      <c r="B5" s="44" t="s">
        <v>18</v>
      </c>
      <c r="C5" s="38"/>
      <c r="D5" s="40"/>
      <c r="E5" s="41"/>
      <c r="F5" s="40"/>
      <c r="G5" s="40"/>
      <c r="H5" s="39"/>
      <c r="I5" s="42">
        <f>SUM(I6:I107)</f>
        <v>38.999999999999993</v>
      </c>
    </row>
    <row r="6" spans="1:9" ht="19.5" customHeight="1" x14ac:dyDescent="0.25">
      <c r="A6" s="18">
        <v>1</v>
      </c>
      <c r="B6" s="19" t="s">
        <v>19</v>
      </c>
      <c r="C6" s="19"/>
      <c r="D6" s="19"/>
      <c r="E6" s="19"/>
      <c r="F6" s="21"/>
      <c r="G6" s="19"/>
      <c r="H6" s="19"/>
      <c r="I6" s="19"/>
    </row>
    <row r="7" spans="1:9" ht="78.75" x14ac:dyDescent="0.25">
      <c r="A7" s="18"/>
      <c r="B7" s="19"/>
      <c r="C7" s="18" t="s">
        <v>5</v>
      </c>
      <c r="D7" s="21" t="s">
        <v>20</v>
      </c>
      <c r="E7" s="18"/>
      <c r="F7" s="21" t="s">
        <v>306</v>
      </c>
      <c r="G7" s="21"/>
      <c r="H7" s="18">
        <v>1</v>
      </c>
      <c r="I7" s="22">
        <v>1</v>
      </c>
    </row>
    <row r="8" spans="1:9" x14ac:dyDescent="0.25">
      <c r="A8" s="18">
        <v>2</v>
      </c>
      <c r="B8" s="21" t="s">
        <v>21</v>
      </c>
      <c r="C8" s="19"/>
      <c r="D8" s="19"/>
      <c r="E8" s="19"/>
      <c r="F8" s="19"/>
      <c r="G8" s="19"/>
      <c r="H8" s="19"/>
      <c r="I8" s="19"/>
    </row>
    <row r="9" spans="1:9" ht="69.75" customHeight="1" x14ac:dyDescent="0.25">
      <c r="A9" s="18"/>
      <c r="B9" s="19"/>
      <c r="C9" s="18" t="s">
        <v>5</v>
      </c>
      <c r="D9" s="21" t="s">
        <v>22</v>
      </c>
      <c r="E9" s="21"/>
      <c r="F9" s="21" t="s">
        <v>257</v>
      </c>
      <c r="G9" s="21"/>
      <c r="H9" s="18">
        <v>1</v>
      </c>
      <c r="I9" s="22">
        <v>1</v>
      </c>
    </row>
    <row r="10" spans="1:9" ht="56.25" customHeight="1" x14ac:dyDescent="0.25">
      <c r="A10" s="18"/>
      <c r="B10" s="19"/>
      <c r="C10" s="18" t="s">
        <v>5</v>
      </c>
      <c r="D10" s="21" t="s">
        <v>23</v>
      </c>
      <c r="E10" s="21"/>
      <c r="F10" s="21" t="s">
        <v>256</v>
      </c>
      <c r="G10" s="21"/>
      <c r="H10" s="18">
        <v>2</v>
      </c>
      <c r="I10" s="22">
        <v>1.5</v>
      </c>
    </row>
    <row r="11" spans="1:9" ht="51.75" customHeight="1" x14ac:dyDescent="0.25">
      <c r="A11" s="18"/>
      <c r="B11" s="19"/>
      <c r="C11" s="18" t="s">
        <v>5</v>
      </c>
      <c r="D11" s="21" t="s">
        <v>24</v>
      </c>
      <c r="E11" s="21"/>
      <c r="F11" s="21" t="s">
        <v>258</v>
      </c>
      <c r="G11" s="21"/>
      <c r="H11" s="18">
        <v>2</v>
      </c>
      <c r="I11" s="22">
        <v>1</v>
      </c>
    </row>
    <row r="12" spans="1:9" ht="50.25" customHeight="1" x14ac:dyDescent="0.25">
      <c r="A12" s="18"/>
      <c r="B12" s="19"/>
      <c r="C12" s="18" t="s">
        <v>5</v>
      </c>
      <c r="D12" s="21" t="s">
        <v>25</v>
      </c>
      <c r="E12" s="21"/>
      <c r="F12" s="21" t="s">
        <v>185</v>
      </c>
      <c r="G12" s="21"/>
      <c r="H12" s="18">
        <v>2</v>
      </c>
      <c r="I12" s="22">
        <v>0.25</v>
      </c>
    </row>
    <row r="13" spans="1:9" ht="47.25" x14ac:dyDescent="0.25">
      <c r="A13" s="18"/>
      <c r="B13" s="19"/>
      <c r="C13" s="18" t="s">
        <v>5</v>
      </c>
      <c r="D13" s="21" t="s">
        <v>26</v>
      </c>
      <c r="E13" s="18"/>
      <c r="F13" s="21" t="s">
        <v>186</v>
      </c>
      <c r="G13" s="21"/>
      <c r="H13" s="18">
        <v>2</v>
      </c>
      <c r="I13" s="22">
        <v>0.75</v>
      </c>
    </row>
    <row r="14" spans="1:9" ht="63" x14ac:dyDescent="0.25">
      <c r="A14" s="18"/>
      <c r="B14" s="19"/>
      <c r="C14" s="18" t="s">
        <v>5</v>
      </c>
      <c r="D14" s="21" t="s">
        <v>27</v>
      </c>
      <c r="E14" s="18"/>
      <c r="F14" s="21" t="s">
        <v>187</v>
      </c>
      <c r="G14" s="21"/>
      <c r="H14" s="18">
        <v>2</v>
      </c>
      <c r="I14" s="22">
        <v>0.35</v>
      </c>
    </row>
    <row r="15" spans="1:9" ht="31.5" x14ac:dyDescent="0.25">
      <c r="A15" s="18"/>
      <c r="B15" s="19"/>
      <c r="C15" s="18" t="s">
        <v>5</v>
      </c>
      <c r="D15" s="21" t="s">
        <v>28</v>
      </c>
      <c r="E15" s="18"/>
      <c r="F15" s="21" t="s">
        <v>188</v>
      </c>
      <c r="G15" s="21"/>
      <c r="H15" s="18">
        <v>2</v>
      </c>
      <c r="I15" s="22">
        <v>0.25</v>
      </c>
    </row>
    <row r="16" spans="1:9" ht="183.75" customHeight="1" x14ac:dyDescent="0.25">
      <c r="A16" s="18"/>
      <c r="B16" s="19"/>
      <c r="C16" s="18" t="s">
        <v>5</v>
      </c>
      <c r="D16" s="21" t="s">
        <v>29</v>
      </c>
      <c r="E16" s="18"/>
      <c r="F16" s="21" t="s">
        <v>298</v>
      </c>
      <c r="G16" s="21"/>
      <c r="H16" s="18">
        <v>2</v>
      </c>
      <c r="I16" s="22">
        <v>1.5</v>
      </c>
    </row>
    <row r="17" spans="1:9" ht="15.75" customHeight="1" x14ac:dyDescent="0.25">
      <c r="A17" s="18">
        <v>3</v>
      </c>
      <c r="B17" s="21" t="s">
        <v>47</v>
      </c>
      <c r="C17" s="19"/>
      <c r="D17" s="19"/>
      <c r="E17" s="19"/>
      <c r="F17" s="19"/>
      <c r="G17" s="19"/>
      <c r="H17" s="19"/>
      <c r="I17" s="19"/>
    </row>
    <row r="18" spans="1:9" ht="117" customHeight="1" x14ac:dyDescent="0.25">
      <c r="A18" s="18"/>
      <c r="B18" s="19"/>
      <c r="C18" s="18" t="s">
        <v>5</v>
      </c>
      <c r="D18" s="21" t="s">
        <v>30</v>
      </c>
      <c r="E18" s="18"/>
      <c r="F18" s="21" t="s">
        <v>189</v>
      </c>
      <c r="G18" s="21"/>
      <c r="H18" s="18">
        <v>2</v>
      </c>
      <c r="I18" s="22">
        <v>0.5</v>
      </c>
    </row>
    <row r="19" spans="1:9" ht="69.75" customHeight="1" x14ac:dyDescent="0.25">
      <c r="A19" s="18"/>
      <c r="B19" s="19"/>
      <c r="C19" s="18" t="s">
        <v>5</v>
      </c>
      <c r="D19" s="21" t="s">
        <v>31</v>
      </c>
      <c r="E19" s="18"/>
      <c r="F19" s="21" t="s">
        <v>190</v>
      </c>
      <c r="G19" s="21"/>
      <c r="H19" s="18">
        <v>2</v>
      </c>
      <c r="I19" s="22">
        <v>0.3</v>
      </c>
    </row>
    <row r="20" spans="1:9" ht="195" customHeight="1" x14ac:dyDescent="0.25">
      <c r="A20" s="18"/>
      <c r="B20" s="19"/>
      <c r="C20" s="18" t="s">
        <v>5</v>
      </c>
      <c r="D20" s="21" t="s">
        <v>32</v>
      </c>
      <c r="E20" s="24"/>
      <c r="F20" s="25" t="s">
        <v>191</v>
      </c>
      <c r="G20" s="25"/>
      <c r="H20" s="18">
        <v>2</v>
      </c>
      <c r="I20" s="22">
        <v>0.8</v>
      </c>
    </row>
    <row r="21" spans="1:9" ht="110.25" x14ac:dyDescent="0.25">
      <c r="A21" s="18"/>
      <c r="B21" s="19"/>
      <c r="C21" s="18" t="s">
        <v>5</v>
      </c>
      <c r="D21" s="21" t="s">
        <v>33</v>
      </c>
      <c r="E21" s="18"/>
      <c r="F21" s="21" t="s">
        <v>192</v>
      </c>
      <c r="G21" s="21"/>
      <c r="H21" s="18">
        <v>4</v>
      </c>
      <c r="I21" s="22">
        <v>1</v>
      </c>
    </row>
    <row r="22" spans="1:9" ht="31.5" x14ac:dyDescent="0.25">
      <c r="A22" s="18"/>
      <c r="B22" s="19"/>
      <c r="C22" s="18" t="s">
        <v>5</v>
      </c>
      <c r="D22" s="21" t="s">
        <v>34</v>
      </c>
      <c r="E22" s="18"/>
      <c r="F22" s="21" t="s">
        <v>193</v>
      </c>
      <c r="G22" s="21"/>
      <c r="H22" s="18">
        <v>4</v>
      </c>
      <c r="I22" s="22">
        <v>0.75</v>
      </c>
    </row>
    <row r="23" spans="1:9" ht="63" x14ac:dyDescent="0.25">
      <c r="A23" s="18"/>
      <c r="B23" s="19"/>
      <c r="C23" s="18" t="s">
        <v>5</v>
      </c>
      <c r="D23" s="21" t="s">
        <v>35</v>
      </c>
      <c r="E23" s="18"/>
      <c r="F23" s="21" t="s">
        <v>194</v>
      </c>
      <c r="G23" s="21"/>
      <c r="H23" s="18">
        <v>4</v>
      </c>
      <c r="I23" s="22">
        <v>0.4</v>
      </c>
    </row>
    <row r="24" spans="1:9" ht="31.5" x14ac:dyDescent="0.25">
      <c r="A24" s="18"/>
      <c r="B24" s="19"/>
      <c r="C24" s="18" t="s">
        <v>5</v>
      </c>
      <c r="D24" s="21" t="s">
        <v>36</v>
      </c>
      <c r="E24" s="18"/>
      <c r="F24" s="21" t="s">
        <v>195</v>
      </c>
      <c r="G24" s="21"/>
      <c r="H24" s="18">
        <v>4</v>
      </c>
      <c r="I24" s="22">
        <v>0.25</v>
      </c>
    </row>
    <row r="25" spans="1:9" ht="47.25" x14ac:dyDescent="0.25">
      <c r="A25" s="18"/>
      <c r="B25" s="19"/>
      <c r="C25" s="18" t="s">
        <v>5</v>
      </c>
      <c r="D25" s="21" t="s">
        <v>37</v>
      </c>
      <c r="E25" s="18"/>
      <c r="F25" s="21" t="s">
        <v>196</v>
      </c>
      <c r="G25" s="21"/>
      <c r="H25" s="18">
        <v>4</v>
      </c>
      <c r="I25" s="22">
        <v>0.7</v>
      </c>
    </row>
    <row r="26" spans="1:9" ht="31.5" x14ac:dyDescent="0.25">
      <c r="A26" s="18"/>
      <c r="B26" s="19"/>
      <c r="C26" s="18" t="s">
        <v>5</v>
      </c>
      <c r="D26" s="21" t="s">
        <v>38</v>
      </c>
      <c r="E26" s="18"/>
      <c r="F26" s="21" t="s">
        <v>197</v>
      </c>
      <c r="G26" s="21"/>
      <c r="H26" s="18">
        <v>4</v>
      </c>
      <c r="I26" s="22">
        <v>0.1</v>
      </c>
    </row>
    <row r="27" spans="1:9" ht="31.5" x14ac:dyDescent="0.25">
      <c r="A27" s="18"/>
      <c r="B27" s="19"/>
      <c r="C27" s="18" t="s">
        <v>5</v>
      </c>
      <c r="D27" s="21" t="s">
        <v>299</v>
      </c>
      <c r="E27" s="18"/>
      <c r="F27" s="21" t="s">
        <v>300</v>
      </c>
      <c r="G27" s="21"/>
      <c r="H27" s="18">
        <v>4</v>
      </c>
      <c r="I27" s="22">
        <v>0.1</v>
      </c>
    </row>
    <row r="28" spans="1:9" ht="31.5" x14ac:dyDescent="0.25">
      <c r="A28" s="18"/>
      <c r="B28" s="19"/>
      <c r="C28" s="18" t="s">
        <v>5</v>
      </c>
      <c r="D28" s="21" t="s">
        <v>40</v>
      </c>
      <c r="E28" s="18"/>
      <c r="F28" s="21" t="s">
        <v>198</v>
      </c>
      <c r="G28" s="21"/>
      <c r="H28" s="18">
        <v>4</v>
      </c>
      <c r="I28" s="22">
        <v>0.1</v>
      </c>
    </row>
    <row r="29" spans="1:9" x14ac:dyDescent="0.25">
      <c r="A29" s="18"/>
      <c r="B29" s="19"/>
      <c r="C29" s="18" t="s">
        <v>5</v>
      </c>
      <c r="D29" s="21" t="s">
        <v>41</v>
      </c>
      <c r="E29" s="18"/>
      <c r="F29" s="21" t="s">
        <v>199</v>
      </c>
      <c r="G29" s="21"/>
      <c r="H29" s="18">
        <v>4</v>
      </c>
      <c r="I29" s="22">
        <v>0.25</v>
      </c>
    </row>
    <row r="30" spans="1:9" ht="31.5" x14ac:dyDescent="0.25">
      <c r="A30" s="18"/>
      <c r="B30" s="19"/>
      <c r="C30" s="18" t="s">
        <v>5</v>
      </c>
      <c r="D30" s="21" t="s">
        <v>42</v>
      </c>
      <c r="E30" s="18"/>
      <c r="F30" s="21" t="s">
        <v>200</v>
      </c>
      <c r="G30" s="21"/>
      <c r="H30" s="18">
        <v>4</v>
      </c>
      <c r="I30" s="22">
        <v>0.5</v>
      </c>
    </row>
    <row r="31" spans="1:9" ht="31.5" x14ac:dyDescent="0.25">
      <c r="A31" s="18"/>
      <c r="B31" s="19"/>
      <c r="C31" s="18" t="s">
        <v>5</v>
      </c>
      <c r="D31" s="21" t="s">
        <v>43</v>
      </c>
      <c r="E31" s="18"/>
      <c r="F31" s="21" t="s">
        <v>201</v>
      </c>
      <c r="G31" s="21"/>
      <c r="H31" s="18">
        <v>4</v>
      </c>
      <c r="I31" s="22">
        <v>0.25</v>
      </c>
    </row>
    <row r="32" spans="1:9" ht="78.75" x14ac:dyDescent="0.25">
      <c r="A32" s="18"/>
      <c r="B32" s="19"/>
      <c r="C32" s="18" t="s">
        <v>5</v>
      </c>
      <c r="D32" s="21" t="s">
        <v>44</v>
      </c>
      <c r="E32" s="18"/>
      <c r="F32" s="21" t="s">
        <v>202</v>
      </c>
      <c r="G32" s="21"/>
      <c r="H32" s="18">
        <v>4</v>
      </c>
      <c r="I32" s="22">
        <v>1.25</v>
      </c>
    </row>
    <row r="33" spans="1:9" ht="157.5" x14ac:dyDescent="0.25">
      <c r="A33" s="18"/>
      <c r="B33" s="19"/>
      <c r="C33" s="18" t="s">
        <v>5</v>
      </c>
      <c r="D33" s="21" t="s">
        <v>45</v>
      </c>
      <c r="E33" s="18"/>
      <c r="F33" s="21" t="s">
        <v>203</v>
      </c>
      <c r="G33" s="21"/>
      <c r="H33" s="18">
        <v>4</v>
      </c>
      <c r="I33" s="22">
        <v>1.5</v>
      </c>
    </row>
    <row r="34" spans="1:9" ht="150" customHeight="1" x14ac:dyDescent="0.25">
      <c r="A34" s="18"/>
      <c r="B34" s="19"/>
      <c r="C34" s="18" t="s">
        <v>5</v>
      </c>
      <c r="D34" s="21" t="s">
        <v>46</v>
      </c>
      <c r="E34" s="18"/>
      <c r="F34" s="21" t="s">
        <v>204</v>
      </c>
      <c r="G34" s="21"/>
      <c r="H34" s="18">
        <v>4</v>
      </c>
      <c r="I34" s="22">
        <v>1</v>
      </c>
    </row>
    <row r="35" spans="1:9" ht="63" x14ac:dyDescent="0.25">
      <c r="A35" s="18"/>
      <c r="B35" s="19"/>
      <c r="C35" s="18" t="s">
        <v>5</v>
      </c>
      <c r="D35" s="21" t="s">
        <v>48</v>
      </c>
      <c r="E35" s="18"/>
      <c r="F35" s="21" t="s">
        <v>205</v>
      </c>
      <c r="G35" s="21"/>
      <c r="H35" s="18">
        <v>4</v>
      </c>
      <c r="I35" s="22">
        <v>0.5</v>
      </c>
    </row>
    <row r="36" spans="1:9" ht="31.5" x14ac:dyDescent="0.25">
      <c r="A36" s="18"/>
      <c r="B36" s="19"/>
      <c r="C36" s="18" t="s">
        <v>5</v>
      </c>
      <c r="D36" s="21" t="s">
        <v>49</v>
      </c>
      <c r="E36" s="18"/>
      <c r="F36" s="21" t="s">
        <v>206</v>
      </c>
      <c r="G36" s="21"/>
      <c r="H36" s="18">
        <v>4</v>
      </c>
      <c r="I36" s="22">
        <v>0.25</v>
      </c>
    </row>
    <row r="37" spans="1:9" ht="138" customHeight="1" x14ac:dyDescent="0.25">
      <c r="A37" s="18"/>
      <c r="B37" s="19"/>
      <c r="C37" s="18" t="s">
        <v>5</v>
      </c>
      <c r="D37" s="21" t="s">
        <v>50</v>
      </c>
      <c r="E37" s="18"/>
      <c r="F37" s="21" t="s">
        <v>207</v>
      </c>
      <c r="G37" s="21"/>
      <c r="H37" s="18">
        <v>4</v>
      </c>
      <c r="I37" s="22">
        <v>1.25</v>
      </c>
    </row>
    <row r="38" spans="1:9" ht="47.25" x14ac:dyDescent="0.25">
      <c r="A38" s="18"/>
      <c r="B38" s="19"/>
      <c r="C38" s="18" t="s">
        <v>5</v>
      </c>
      <c r="D38" s="21" t="s">
        <v>51</v>
      </c>
      <c r="E38" s="18"/>
      <c r="F38" s="21" t="s">
        <v>208</v>
      </c>
      <c r="G38" s="21"/>
      <c r="H38" s="18">
        <v>4</v>
      </c>
      <c r="I38" s="22">
        <v>1.5</v>
      </c>
    </row>
    <row r="39" spans="1:9" ht="47.25" x14ac:dyDescent="0.25">
      <c r="A39" s="18"/>
      <c r="B39" s="19"/>
      <c r="C39" s="18" t="s">
        <v>5</v>
      </c>
      <c r="D39" s="21" t="s">
        <v>52</v>
      </c>
      <c r="E39" s="18"/>
      <c r="F39" s="21" t="s">
        <v>209</v>
      </c>
      <c r="G39" s="21"/>
      <c r="H39" s="18">
        <v>4</v>
      </c>
      <c r="I39" s="22">
        <v>1.5</v>
      </c>
    </row>
    <row r="40" spans="1:9" ht="94.5" customHeight="1" x14ac:dyDescent="0.25">
      <c r="A40" s="18"/>
      <c r="B40" s="19"/>
      <c r="C40" s="18" t="s">
        <v>5</v>
      </c>
      <c r="D40" s="21" t="s">
        <v>53</v>
      </c>
      <c r="E40" s="18"/>
      <c r="F40" s="21" t="s">
        <v>210</v>
      </c>
      <c r="G40" s="21"/>
      <c r="H40" s="18">
        <v>4</v>
      </c>
      <c r="I40" s="22">
        <v>1.5</v>
      </c>
    </row>
    <row r="41" spans="1:9" ht="31.5" x14ac:dyDescent="0.25">
      <c r="A41" s="18"/>
      <c r="B41" s="19"/>
      <c r="C41" s="18" t="s">
        <v>5</v>
      </c>
      <c r="D41" s="21" t="s">
        <v>54</v>
      </c>
      <c r="E41" s="18"/>
      <c r="F41" s="21" t="s">
        <v>211</v>
      </c>
      <c r="G41" s="21"/>
      <c r="H41" s="18">
        <v>4</v>
      </c>
      <c r="I41" s="22">
        <v>0.5</v>
      </c>
    </row>
    <row r="42" spans="1:9" ht="63" x14ac:dyDescent="0.25">
      <c r="A42" s="18"/>
      <c r="B42" s="19"/>
      <c r="C42" s="18" t="s">
        <v>5</v>
      </c>
      <c r="D42" s="21" t="s">
        <v>261</v>
      </c>
      <c r="E42" s="18"/>
      <c r="F42" s="21" t="s">
        <v>263</v>
      </c>
      <c r="G42" s="21"/>
      <c r="H42" s="18">
        <v>2</v>
      </c>
      <c r="I42" s="22">
        <v>0.4</v>
      </c>
    </row>
    <row r="43" spans="1:9" x14ac:dyDescent="0.25">
      <c r="A43" s="18"/>
      <c r="B43" s="19"/>
      <c r="C43" s="18" t="s">
        <v>5</v>
      </c>
      <c r="D43" s="21" t="s">
        <v>262</v>
      </c>
      <c r="E43" s="18"/>
      <c r="F43" s="21" t="s">
        <v>264</v>
      </c>
      <c r="G43" s="21"/>
      <c r="H43" s="18">
        <v>4</v>
      </c>
      <c r="I43" s="22">
        <v>0.35</v>
      </c>
    </row>
    <row r="44" spans="1:9" s="9" customFormat="1" x14ac:dyDescent="0.25">
      <c r="A44" s="26"/>
      <c r="B44" s="27"/>
      <c r="C44" s="26"/>
      <c r="D44" s="28"/>
      <c r="E44" s="26"/>
      <c r="F44" s="28"/>
      <c r="G44" s="28"/>
      <c r="H44" s="26"/>
      <c r="I44" s="29"/>
    </row>
    <row r="45" spans="1:9" ht="126" x14ac:dyDescent="0.25">
      <c r="A45" s="18"/>
      <c r="B45" s="19"/>
      <c r="C45" s="18" t="s">
        <v>5</v>
      </c>
      <c r="D45" s="21" t="s">
        <v>56</v>
      </c>
      <c r="E45" s="18"/>
      <c r="F45" s="21" t="s">
        <v>212</v>
      </c>
      <c r="G45" s="21"/>
      <c r="H45" s="18">
        <v>4</v>
      </c>
      <c r="I45" s="22">
        <v>0.95</v>
      </c>
    </row>
    <row r="46" spans="1:9" ht="126" x14ac:dyDescent="0.25">
      <c r="A46" s="18"/>
      <c r="B46" s="19"/>
      <c r="C46" s="18" t="s">
        <v>5</v>
      </c>
      <c r="D46" s="21" t="s">
        <v>57</v>
      </c>
      <c r="E46" s="18"/>
      <c r="F46" s="21" t="s">
        <v>213</v>
      </c>
      <c r="G46" s="21"/>
      <c r="H46" s="18">
        <v>2</v>
      </c>
      <c r="I46" s="22">
        <v>0.4</v>
      </c>
    </row>
    <row r="47" spans="1:9" ht="88.5" customHeight="1" x14ac:dyDescent="0.25">
      <c r="A47" s="18"/>
      <c r="B47" s="19"/>
      <c r="C47" s="18" t="s">
        <v>5</v>
      </c>
      <c r="D47" s="21" t="s">
        <v>58</v>
      </c>
      <c r="E47" s="18"/>
      <c r="F47" s="21" t="s">
        <v>214</v>
      </c>
      <c r="G47" s="21"/>
      <c r="H47" s="18">
        <v>4</v>
      </c>
      <c r="I47" s="22">
        <v>0.9</v>
      </c>
    </row>
    <row r="48" spans="1:9" ht="47.25" x14ac:dyDescent="0.25">
      <c r="A48" s="18"/>
      <c r="B48" s="19"/>
      <c r="C48" s="18" t="s">
        <v>5</v>
      </c>
      <c r="D48" s="21" t="s">
        <v>59</v>
      </c>
      <c r="E48" s="18"/>
      <c r="F48" s="21" t="s">
        <v>215</v>
      </c>
      <c r="G48" s="21"/>
      <c r="H48" s="18">
        <v>4</v>
      </c>
      <c r="I48" s="22">
        <v>0.35</v>
      </c>
    </row>
    <row r="49" spans="1:9" ht="47.25" x14ac:dyDescent="0.25">
      <c r="A49" s="18"/>
      <c r="B49" s="19"/>
      <c r="C49" s="18" t="s">
        <v>5</v>
      </c>
      <c r="D49" s="21" t="s">
        <v>60</v>
      </c>
      <c r="E49" s="18"/>
      <c r="F49" s="21" t="s">
        <v>216</v>
      </c>
      <c r="G49" s="21"/>
      <c r="H49" s="18">
        <v>4</v>
      </c>
      <c r="I49" s="22">
        <v>0.25</v>
      </c>
    </row>
    <row r="50" spans="1:9" ht="31.5" x14ac:dyDescent="0.25">
      <c r="A50" s="18"/>
      <c r="B50" s="19"/>
      <c r="C50" s="18" t="s">
        <v>5</v>
      </c>
      <c r="D50" s="21" t="s">
        <v>265</v>
      </c>
      <c r="E50" s="18"/>
      <c r="F50" s="21" t="s">
        <v>266</v>
      </c>
      <c r="G50" s="21"/>
      <c r="H50" s="18">
        <v>4</v>
      </c>
      <c r="I50" s="22">
        <v>0.2</v>
      </c>
    </row>
    <row r="51" spans="1:9" ht="31.5" x14ac:dyDescent="0.25">
      <c r="A51" s="18"/>
      <c r="B51" s="19"/>
      <c r="C51" s="18" t="s">
        <v>5</v>
      </c>
      <c r="D51" s="21" t="s">
        <v>268</v>
      </c>
      <c r="E51" s="18"/>
      <c r="F51" s="21" t="s">
        <v>269</v>
      </c>
      <c r="G51" s="21"/>
      <c r="H51" s="18">
        <v>4</v>
      </c>
      <c r="I51" s="22">
        <v>1</v>
      </c>
    </row>
    <row r="52" spans="1:9" ht="31.5" x14ac:dyDescent="0.25">
      <c r="A52" s="18"/>
      <c r="B52" s="19"/>
      <c r="C52" s="18" t="s">
        <v>5</v>
      </c>
      <c r="D52" s="21" t="s">
        <v>270</v>
      </c>
      <c r="E52" s="18"/>
      <c r="F52" s="21" t="s">
        <v>271</v>
      </c>
      <c r="G52" s="21"/>
      <c r="H52" s="18">
        <v>4</v>
      </c>
      <c r="I52" s="22">
        <v>0.5</v>
      </c>
    </row>
    <row r="53" spans="1:9" x14ac:dyDescent="0.25">
      <c r="A53" s="18"/>
      <c r="B53" s="19"/>
      <c r="C53" s="18" t="s">
        <v>5</v>
      </c>
      <c r="D53" s="21" t="s">
        <v>272</v>
      </c>
      <c r="E53" s="18"/>
      <c r="F53" s="21" t="s">
        <v>273</v>
      </c>
      <c r="G53" s="21"/>
      <c r="H53" s="18">
        <v>4</v>
      </c>
      <c r="I53" s="22">
        <v>0.5</v>
      </c>
    </row>
    <row r="54" spans="1:9" ht="47.25" x14ac:dyDescent="0.25">
      <c r="A54" s="18"/>
      <c r="B54" s="19"/>
      <c r="C54" s="18" t="s">
        <v>5</v>
      </c>
      <c r="D54" s="21" t="s">
        <v>274</v>
      </c>
      <c r="E54" s="18"/>
      <c r="F54" s="21" t="s">
        <v>275</v>
      </c>
      <c r="G54" s="21"/>
      <c r="H54" s="18">
        <v>4</v>
      </c>
      <c r="I54" s="22">
        <v>0.75</v>
      </c>
    </row>
    <row r="55" spans="1:9" ht="31.5" x14ac:dyDescent="0.25">
      <c r="A55" s="18"/>
      <c r="B55" s="19"/>
      <c r="C55" s="18" t="s">
        <v>5</v>
      </c>
      <c r="D55" s="21" t="s">
        <v>70</v>
      </c>
      <c r="E55" s="18"/>
      <c r="F55" s="21" t="s">
        <v>217</v>
      </c>
      <c r="G55" s="21"/>
      <c r="H55" s="18">
        <v>4</v>
      </c>
      <c r="I55" s="22">
        <v>0.5</v>
      </c>
    </row>
    <row r="56" spans="1:9" ht="63" x14ac:dyDescent="0.25">
      <c r="A56" s="18"/>
      <c r="B56" s="19"/>
      <c r="C56" s="18" t="s">
        <v>5</v>
      </c>
      <c r="D56" s="21" t="s">
        <v>61</v>
      </c>
      <c r="E56" s="18"/>
      <c r="F56" s="21" t="s">
        <v>267</v>
      </c>
      <c r="G56" s="21"/>
      <c r="H56" s="18">
        <v>4</v>
      </c>
      <c r="I56" s="22">
        <v>1</v>
      </c>
    </row>
    <row r="57" spans="1:9" x14ac:dyDescent="0.25">
      <c r="A57" s="18"/>
      <c r="B57" s="19"/>
      <c r="C57" s="24" t="s">
        <v>6</v>
      </c>
      <c r="D57" s="19" t="s">
        <v>34</v>
      </c>
      <c r="E57" s="18"/>
      <c r="F57" s="21"/>
      <c r="G57" s="21"/>
      <c r="H57" s="18">
        <v>4</v>
      </c>
      <c r="I57" s="22">
        <v>0.5</v>
      </c>
    </row>
    <row r="58" spans="1:9" x14ac:dyDescent="0.25">
      <c r="A58" s="18"/>
      <c r="B58" s="19"/>
      <c r="C58" s="18"/>
      <c r="D58" s="30"/>
      <c r="E58" s="18">
        <v>0</v>
      </c>
      <c r="F58" s="21" t="s">
        <v>74</v>
      </c>
      <c r="G58" s="21"/>
      <c r="H58" s="18"/>
      <c r="I58" s="22"/>
    </row>
    <row r="59" spans="1:9" x14ac:dyDescent="0.25">
      <c r="A59" s="18"/>
      <c r="B59" s="19"/>
      <c r="C59" s="18"/>
      <c r="D59" s="30"/>
      <c r="E59" s="18">
        <v>1</v>
      </c>
      <c r="F59" s="21" t="s">
        <v>135</v>
      </c>
      <c r="G59" s="21"/>
      <c r="H59" s="18"/>
      <c r="I59" s="22"/>
    </row>
    <row r="60" spans="1:9" x14ac:dyDescent="0.25">
      <c r="A60" s="18"/>
      <c r="B60" s="19"/>
      <c r="C60" s="18"/>
      <c r="D60" s="30"/>
      <c r="E60" s="18">
        <v>2</v>
      </c>
      <c r="F60" s="21" t="s">
        <v>136</v>
      </c>
      <c r="G60" s="21"/>
      <c r="H60" s="18"/>
      <c r="I60" s="22"/>
    </row>
    <row r="61" spans="1:9" ht="31.5" x14ac:dyDescent="0.25">
      <c r="A61" s="18"/>
      <c r="B61" s="19"/>
      <c r="C61" s="18"/>
      <c r="D61" s="19"/>
      <c r="E61" s="18">
        <v>3</v>
      </c>
      <c r="F61" s="21" t="s">
        <v>62</v>
      </c>
      <c r="G61" s="21"/>
      <c r="H61" s="18"/>
      <c r="I61" s="22"/>
    </row>
    <row r="62" spans="1:9" x14ac:dyDescent="0.25">
      <c r="A62" s="18"/>
      <c r="B62" s="19"/>
      <c r="C62" s="24" t="s">
        <v>6</v>
      </c>
      <c r="D62" s="19" t="s">
        <v>39</v>
      </c>
      <c r="E62" s="18"/>
      <c r="F62" s="21"/>
      <c r="G62" s="21"/>
      <c r="H62" s="18">
        <v>4</v>
      </c>
      <c r="I62" s="22">
        <v>0.5</v>
      </c>
    </row>
    <row r="63" spans="1:9" x14ac:dyDescent="0.25">
      <c r="A63" s="18"/>
      <c r="B63" s="19"/>
      <c r="C63" s="18"/>
      <c r="D63" s="19"/>
      <c r="E63" s="18">
        <v>0</v>
      </c>
      <c r="F63" s="21" t="s">
        <v>74</v>
      </c>
      <c r="G63" s="21"/>
      <c r="H63" s="18"/>
      <c r="I63" s="22"/>
    </row>
    <row r="64" spans="1:9" x14ac:dyDescent="0.25">
      <c r="A64" s="18"/>
      <c r="B64" s="19"/>
      <c r="C64" s="18"/>
      <c r="D64" s="19"/>
      <c r="E64" s="18">
        <v>1</v>
      </c>
      <c r="F64" s="21" t="s">
        <v>137</v>
      </c>
      <c r="G64" s="21"/>
      <c r="H64" s="18"/>
      <c r="I64" s="22"/>
    </row>
    <row r="65" spans="1:9" x14ac:dyDescent="0.25">
      <c r="A65" s="18"/>
      <c r="B65" s="19"/>
      <c r="C65" s="18"/>
      <c r="D65" s="19"/>
      <c r="E65" s="18">
        <v>2</v>
      </c>
      <c r="F65" s="21" t="s">
        <v>138</v>
      </c>
      <c r="G65" s="21"/>
      <c r="H65" s="18"/>
      <c r="I65" s="22"/>
    </row>
    <row r="66" spans="1:9" x14ac:dyDescent="0.25">
      <c r="A66" s="18"/>
      <c r="B66" s="19"/>
      <c r="C66" s="18"/>
      <c r="D66" s="19"/>
      <c r="E66" s="18">
        <v>3</v>
      </c>
      <c r="F66" s="21" t="s">
        <v>63</v>
      </c>
      <c r="G66" s="21"/>
      <c r="H66" s="18"/>
      <c r="I66" s="22"/>
    </row>
    <row r="67" spans="1:9" x14ac:dyDescent="0.25">
      <c r="A67" s="18"/>
      <c r="B67" s="19"/>
      <c r="C67" s="24" t="s">
        <v>6</v>
      </c>
      <c r="D67" s="19" t="s">
        <v>46</v>
      </c>
      <c r="E67" s="18"/>
      <c r="F67" s="21"/>
      <c r="G67" s="21"/>
      <c r="H67" s="18">
        <v>4</v>
      </c>
      <c r="I67" s="22">
        <v>1</v>
      </c>
    </row>
    <row r="68" spans="1:9" x14ac:dyDescent="0.25">
      <c r="A68" s="18"/>
      <c r="B68" s="19"/>
      <c r="C68" s="18"/>
      <c r="D68" s="19"/>
      <c r="E68" s="18">
        <v>0</v>
      </c>
      <c r="F68" s="21" t="s">
        <v>74</v>
      </c>
      <c r="G68" s="21"/>
      <c r="H68" s="18"/>
      <c r="I68" s="22"/>
    </row>
    <row r="69" spans="1:9" x14ac:dyDescent="0.25">
      <c r="A69" s="18"/>
      <c r="B69" s="19"/>
      <c r="C69" s="18"/>
      <c r="D69" s="19"/>
      <c r="E69" s="18">
        <v>1</v>
      </c>
      <c r="F69" s="21" t="s">
        <v>139</v>
      </c>
      <c r="G69" s="21"/>
      <c r="H69" s="18"/>
      <c r="I69" s="22"/>
    </row>
    <row r="70" spans="1:9" x14ac:dyDescent="0.25">
      <c r="A70" s="18"/>
      <c r="B70" s="19"/>
      <c r="C70" s="18"/>
      <c r="D70" s="19"/>
      <c r="E70" s="18">
        <v>2</v>
      </c>
      <c r="F70" s="21" t="s">
        <v>140</v>
      </c>
      <c r="G70" s="21"/>
      <c r="H70" s="18"/>
      <c r="I70" s="22"/>
    </row>
    <row r="71" spans="1:9" x14ac:dyDescent="0.25">
      <c r="A71" s="18"/>
      <c r="B71" s="19"/>
      <c r="C71" s="18"/>
      <c r="D71" s="19"/>
      <c r="E71" s="18">
        <v>3</v>
      </c>
      <c r="F71" s="21" t="s">
        <v>64</v>
      </c>
      <c r="G71" s="21"/>
      <c r="H71" s="18"/>
      <c r="I71" s="22"/>
    </row>
    <row r="72" spans="1:9" x14ac:dyDescent="0.25">
      <c r="A72" s="18"/>
      <c r="B72" s="19"/>
      <c r="C72" s="24" t="s">
        <v>6</v>
      </c>
      <c r="D72" s="19" t="s">
        <v>72</v>
      </c>
      <c r="E72" s="18"/>
      <c r="F72" s="21"/>
      <c r="G72" s="21"/>
      <c r="H72" s="18">
        <v>4</v>
      </c>
      <c r="I72" s="22">
        <v>0.3</v>
      </c>
    </row>
    <row r="73" spans="1:9" x14ac:dyDescent="0.25">
      <c r="A73" s="18"/>
      <c r="B73" s="19"/>
      <c r="C73" s="18"/>
      <c r="D73" s="19"/>
      <c r="E73" s="18">
        <v>0</v>
      </c>
      <c r="F73" s="21" t="s">
        <v>74</v>
      </c>
      <c r="G73" s="21"/>
      <c r="H73" s="18"/>
      <c r="I73" s="22"/>
    </row>
    <row r="74" spans="1:9" x14ac:dyDescent="0.25">
      <c r="A74" s="18"/>
      <c r="B74" s="19"/>
      <c r="C74" s="18"/>
      <c r="D74" s="19"/>
      <c r="E74" s="18">
        <v>1</v>
      </c>
      <c r="F74" s="21" t="s">
        <v>142</v>
      </c>
      <c r="G74" s="21"/>
      <c r="H74" s="18"/>
      <c r="I74" s="22"/>
    </row>
    <row r="75" spans="1:9" x14ac:dyDescent="0.25">
      <c r="A75" s="18"/>
      <c r="B75" s="19"/>
      <c r="C75" s="18"/>
      <c r="D75" s="19"/>
      <c r="E75" s="18">
        <v>2</v>
      </c>
      <c r="F75" s="21" t="s">
        <v>143</v>
      </c>
      <c r="G75" s="21"/>
      <c r="H75" s="18"/>
      <c r="I75" s="22"/>
    </row>
    <row r="76" spans="1:9" ht="62.1" customHeight="1" x14ac:dyDescent="0.25">
      <c r="A76" s="18"/>
      <c r="B76" s="19"/>
      <c r="C76" s="18"/>
      <c r="D76" s="19"/>
      <c r="E76" s="18">
        <v>3</v>
      </c>
      <c r="F76" s="21" t="s">
        <v>141</v>
      </c>
      <c r="G76" s="21"/>
      <c r="H76" s="18"/>
      <c r="I76" s="22"/>
    </row>
    <row r="77" spans="1:9" x14ac:dyDescent="0.25">
      <c r="A77" s="18"/>
      <c r="B77" s="19"/>
      <c r="C77" s="24" t="s">
        <v>6</v>
      </c>
      <c r="D77" s="19" t="s">
        <v>50</v>
      </c>
      <c r="E77" s="18"/>
      <c r="F77" s="21"/>
      <c r="G77" s="21"/>
      <c r="H77" s="18">
        <v>4</v>
      </c>
      <c r="I77" s="22">
        <v>0.5</v>
      </c>
    </row>
    <row r="78" spans="1:9" x14ac:dyDescent="0.25">
      <c r="A78" s="18"/>
      <c r="B78" s="19"/>
      <c r="C78" s="18"/>
      <c r="D78" s="19"/>
      <c r="E78" s="18">
        <v>0</v>
      </c>
      <c r="F78" s="21" t="s">
        <v>74</v>
      </c>
      <c r="G78" s="21"/>
      <c r="H78" s="31"/>
      <c r="I78" s="23"/>
    </row>
    <row r="79" spans="1:9" x14ac:dyDescent="0.25">
      <c r="A79" s="18"/>
      <c r="B79" s="19"/>
      <c r="C79" s="18"/>
      <c r="D79" s="19"/>
      <c r="E79" s="18">
        <v>1</v>
      </c>
      <c r="F79" s="21" t="s">
        <v>144</v>
      </c>
      <c r="G79" s="21"/>
      <c r="H79" s="18"/>
      <c r="I79" s="22"/>
    </row>
    <row r="80" spans="1:9" x14ac:dyDescent="0.25">
      <c r="A80" s="18"/>
      <c r="B80" s="19"/>
      <c r="C80" s="18"/>
      <c r="D80" s="19"/>
      <c r="E80" s="18">
        <v>2</v>
      </c>
      <c r="F80" s="21" t="s">
        <v>145</v>
      </c>
      <c r="G80" s="21"/>
      <c r="H80" s="18"/>
      <c r="I80" s="22"/>
    </row>
    <row r="81" spans="1:9" x14ac:dyDescent="0.25">
      <c r="A81" s="18"/>
      <c r="B81" s="19"/>
      <c r="C81" s="18"/>
      <c r="D81" s="19"/>
      <c r="E81" s="18">
        <v>3</v>
      </c>
      <c r="F81" s="21" t="s">
        <v>65</v>
      </c>
      <c r="G81" s="21"/>
      <c r="H81" s="18"/>
      <c r="I81" s="22"/>
    </row>
    <row r="82" spans="1:9" x14ac:dyDescent="0.25">
      <c r="A82" s="18"/>
      <c r="B82" s="19"/>
      <c r="C82" s="24" t="s">
        <v>6</v>
      </c>
      <c r="D82" s="19" t="s">
        <v>73</v>
      </c>
      <c r="E82" s="18"/>
      <c r="F82" s="21"/>
      <c r="G82" s="21"/>
      <c r="H82" s="18">
        <v>4</v>
      </c>
      <c r="I82" s="22">
        <v>0.9</v>
      </c>
    </row>
    <row r="83" spans="1:9" x14ac:dyDescent="0.25">
      <c r="A83" s="18"/>
      <c r="B83" s="19"/>
      <c r="C83" s="18"/>
      <c r="D83" s="19"/>
      <c r="E83" s="18">
        <v>0</v>
      </c>
      <c r="F83" s="21" t="s">
        <v>74</v>
      </c>
      <c r="G83" s="21"/>
      <c r="H83" s="18"/>
      <c r="I83" s="22"/>
    </row>
    <row r="84" spans="1:9" x14ac:dyDescent="0.25">
      <c r="A84" s="18"/>
      <c r="B84" s="19"/>
      <c r="C84" s="18"/>
      <c r="D84" s="19"/>
      <c r="E84" s="18">
        <v>1</v>
      </c>
      <c r="F84" s="21" t="s">
        <v>146</v>
      </c>
      <c r="G84" s="21"/>
      <c r="H84" s="18"/>
      <c r="I84" s="22"/>
    </row>
    <row r="85" spans="1:9" x14ac:dyDescent="0.25">
      <c r="A85" s="18"/>
      <c r="B85" s="19"/>
      <c r="C85" s="18"/>
      <c r="D85" s="19"/>
      <c r="E85" s="18">
        <v>2</v>
      </c>
      <c r="F85" s="21" t="s">
        <v>147</v>
      </c>
      <c r="G85" s="21"/>
      <c r="H85" s="18"/>
      <c r="I85" s="22"/>
    </row>
    <row r="86" spans="1:9" ht="31.5" x14ac:dyDescent="0.25">
      <c r="A86" s="18"/>
      <c r="B86" s="19"/>
      <c r="C86" s="18"/>
      <c r="D86" s="19"/>
      <c r="E86" s="18">
        <v>3</v>
      </c>
      <c r="F86" s="21" t="s">
        <v>66</v>
      </c>
      <c r="G86" s="21"/>
      <c r="H86" s="18"/>
      <c r="I86" s="22"/>
    </row>
    <row r="87" spans="1:9" x14ac:dyDescent="0.25">
      <c r="A87" s="18"/>
      <c r="B87" s="19"/>
      <c r="C87" s="24" t="s">
        <v>6</v>
      </c>
      <c r="D87" s="19" t="s">
        <v>60</v>
      </c>
      <c r="E87" s="18"/>
      <c r="F87" s="21"/>
      <c r="G87" s="21"/>
      <c r="H87" s="18">
        <v>4</v>
      </c>
      <c r="I87" s="22">
        <v>0.6</v>
      </c>
    </row>
    <row r="88" spans="1:9" x14ac:dyDescent="0.25">
      <c r="A88" s="18"/>
      <c r="B88" s="19"/>
      <c r="C88" s="18"/>
      <c r="D88" s="19"/>
      <c r="E88" s="18">
        <v>0</v>
      </c>
      <c r="F88" s="21" t="s">
        <v>74</v>
      </c>
      <c r="G88" s="21"/>
      <c r="H88" s="18"/>
      <c r="I88" s="22"/>
    </row>
    <row r="89" spans="1:9" x14ac:dyDescent="0.25">
      <c r="A89" s="18"/>
      <c r="B89" s="19"/>
      <c r="C89" s="18"/>
      <c r="D89" s="19"/>
      <c r="E89" s="18">
        <v>1</v>
      </c>
      <c r="F89" s="21" t="s">
        <v>148</v>
      </c>
      <c r="G89" s="21"/>
      <c r="H89" s="18"/>
      <c r="I89" s="22"/>
    </row>
    <row r="90" spans="1:9" x14ac:dyDescent="0.25">
      <c r="A90" s="18"/>
      <c r="B90" s="19"/>
      <c r="C90" s="18"/>
      <c r="D90" s="19"/>
      <c r="E90" s="18">
        <v>2</v>
      </c>
      <c r="F90" s="21" t="s">
        <v>149</v>
      </c>
      <c r="G90" s="21"/>
      <c r="H90" s="18"/>
      <c r="I90" s="22"/>
    </row>
    <row r="91" spans="1:9" ht="31.5" x14ac:dyDescent="0.25">
      <c r="A91" s="18"/>
      <c r="B91" s="19"/>
      <c r="C91" s="18"/>
      <c r="D91" s="19"/>
      <c r="E91" s="18">
        <v>3</v>
      </c>
      <c r="F91" s="21" t="s">
        <v>67</v>
      </c>
      <c r="G91" s="21"/>
      <c r="H91" s="18"/>
      <c r="I91" s="22"/>
    </row>
    <row r="92" spans="1:9" x14ac:dyDescent="0.25">
      <c r="A92" s="18"/>
      <c r="B92" s="19"/>
      <c r="C92" s="24" t="s">
        <v>6</v>
      </c>
      <c r="D92" s="19" t="s">
        <v>55</v>
      </c>
      <c r="E92" s="18"/>
      <c r="F92" s="21"/>
      <c r="G92" s="21"/>
      <c r="H92" s="18">
        <v>4</v>
      </c>
      <c r="I92" s="22">
        <v>0.5</v>
      </c>
    </row>
    <row r="93" spans="1:9" x14ac:dyDescent="0.25">
      <c r="A93" s="18"/>
      <c r="B93" s="19"/>
      <c r="C93" s="18"/>
      <c r="D93" s="19"/>
      <c r="E93" s="18">
        <v>0</v>
      </c>
      <c r="F93" s="21" t="s">
        <v>74</v>
      </c>
      <c r="G93" s="21"/>
      <c r="H93" s="18"/>
      <c r="I93" s="22"/>
    </row>
    <row r="94" spans="1:9" x14ac:dyDescent="0.25">
      <c r="A94" s="18"/>
      <c r="B94" s="19"/>
      <c r="C94" s="18"/>
      <c r="D94" s="19"/>
      <c r="E94" s="18">
        <v>1</v>
      </c>
      <c r="F94" s="21" t="s">
        <v>150</v>
      </c>
      <c r="G94" s="21"/>
      <c r="H94" s="18"/>
      <c r="I94" s="22"/>
    </row>
    <row r="95" spans="1:9" x14ac:dyDescent="0.25">
      <c r="A95" s="18"/>
      <c r="B95" s="19"/>
      <c r="C95" s="18"/>
      <c r="D95" s="19"/>
      <c r="E95" s="18">
        <v>2</v>
      </c>
      <c r="F95" s="21" t="s">
        <v>151</v>
      </c>
      <c r="G95" s="21"/>
      <c r="H95" s="18"/>
      <c r="I95" s="22"/>
    </row>
    <row r="96" spans="1:9" x14ac:dyDescent="0.25">
      <c r="A96" s="18"/>
      <c r="B96" s="19"/>
      <c r="C96" s="18"/>
      <c r="D96" s="19"/>
      <c r="E96" s="18">
        <v>3</v>
      </c>
      <c r="F96" s="21" t="s">
        <v>68</v>
      </c>
      <c r="G96" s="21"/>
      <c r="H96" s="18"/>
      <c r="I96" s="22"/>
    </row>
    <row r="97" spans="1:9" x14ac:dyDescent="0.25">
      <c r="A97" s="18"/>
      <c r="B97" s="19"/>
      <c r="C97" s="24" t="s">
        <v>6</v>
      </c>
      <c r="D97" s="19" t="s">
        <v>56</v>
      </c>
      <c r="E97" s="18"/>
      <c r="F97" s="21"/>
      <c r="G97" s="21"/>
      <c r="H97" s="18">
        <v>4</v>
      </c>
      <c r="I97" s="22">
        <v>0.9</v>
      </c>
    </row>
    <row r="98" spans="1:9" x14ac:dyDescent="0.25">
      <c r="A98" s="18"/>
      <c r="B98" s="19"/>
      <c r="C98" s="18"/>
      <c r="D98" s="19"/>
      <c r="E98" s="18">
        <v>0</v>
      </c>
      <c r="F98" s="21" t="s">
        <v>74</v>
      </c>
      <c r="G98" s="21"/>
      <c r="H98" s="18"/>
      <c r="I98" s="22"/>
    </row>
    <row r="99" spans="1:9" x14ac:dyDescent="0.25">
      <c r="A99" s="18"/>
      <c r="B99" s="19"/>
      <c r="C99" s="18"/>
      <c r="D99" s="19"/>
      <c r="E99" s="18">
        <v>1</v>
      </c>
      <c r="F99" s="21" t="s">
        <v>152</v>
      </c>
      <c r="G99" s="21"/>
      <c r="H99" s="18"/>
      <c r="I99" s="22"/>
    </row>
    <row r="100" spans="1:9" x14ac:dyDescent="0.25">
      <c r="A100" s="18"/>
      <c r="B100" s="19"/>
      <c r="C100" s="18"/>
      <c r="D100" s="19"/>
      <c r="E100" s="18">
        <v>2</v>
      </c>
      <c r="F100" s="21" t="s">
        <v>153</v>
      </c>
      <c r="G100" s="21"/>
      <c r="H100" s="18"/>
      <c r="I100" s="22"/>
    </row>
    <row r="101" spans="1:9" x14ac:dyDescent="0.25">
      <c r="A101" s="18"/>
      <c r="B101" s="19"/>
      <c r="C101" s="18"/>
      <c r="D101" s="19"/>
      <c r="E101" s="18">
        <v>3</v>
      </c>
      <c r="F101" s="21" t="s">
        <v>69</v>
      </c>
      <c r="G101" s="21"/>
      <c r="H101" s="18"/>
      <c r="I101" s="22"/>
    </row>
    <row r="102" spans="1:9" x14ac:dyDescent="0.25">
      <c r="A102" s="18"/>
      <c r="B102" s="19"/>
      <c r="C102" s="24" t="s">
        <v>6</v>
      </c>
      <c r="D102" s="19" t="s">
        <v>70</v>
      </c>
      <c r="E102" s="18"/>
      <c r="F102" s="21"/>
      <c r="G102" s="21"/>
      <c r="H102" s="18">
        <v>4</v>
      </c>
      <c r="I102" s="22">
        <v>0.9</v>
      </c>
    </row>
    <row r="103" spans="1:9" x14ac:dyDescent="0.25">
      <c r="A103" s="18"/>
      <c r="B103" s="19"/>
      <c r="C103" s="18"/>
      <c r="D103" s="19"/>
      <c r="E103" s="18">
        <v>0</v>
      </c>
      <c r="F103" s="21" t="s">
        <v>74</v>
      </c>
      <c r="G103" s="21"/>
      <c r="H103" s="18"/>
      <c r="I103" s="22"/>
    </row>
    <row r="104" spans="1:9" x14ac:dyDescent="0.25">
      <c r="A104" s="18"/>
      <c r="B104" s="19"/>
      <c r="C104" s="18"/>
      <c r="D104" s="19"/>
      <c r="E104" s="18">
        <v>1</v>
      </c>
      <c r="F104" s="21" t="s">
        <v>154</v>
      </c>
      <c r="G104" s="21"/>
      <c r="H104" s="18"/>
      <c r="I104" s="22"/>
    </row>
    <row r="105" spans="1:9" x14ac:dyDescent="0.25">
      <c r="A105" s="18"/>
      <c r="B105" s="19"/>
      <c r="C105" s="18"/>
      <c r="D105" s="19"/>
      <c r="E105" s="18">
        <v>2</v>
      </c>
      <c r="F105" s="21" t="s">
        <v>155</v>
      </c>
      <c r="G105" s="21"/>
      <c r="H105" s="18"/>
      <c r="I105" s="22"/>
    </row>
    <row r="106" spans="1:9" x14ac:dyDescent="0.25">
      <c r="A106" s="18"/>
      <c r="B106" s="19"/>
      <c r="C106" s="18"/>
      <c r="D106" s="10"/>
      <c r="E106" s="18">
        <v>3</v>
      </c>
      <c r="F106" s="21" t="s">
        <v>71</v>
      </c>
      <c r="G106" s="21"/>
      <c r="H106" s="18"/>
      <c r="I106" s="22"/>
    </row>
    <row r="107" spans="1:9" x14ac:dyDescent="0.25">
      <c r="A107" s="32"/>
      <c r="B107" s="33"/>
      <c r="C107" s="34"/>
      <c r="D107" s="21"/>
      <c r="E107" s="18"/>
      <c r="F107" s="21"/>
      <c r="G107" s="21"/>
      <c r="H107" s="34"/>
      <c r="I107" s="23"/>
    </row>
    <row r="108" spans="1:9" s="1" customFormat="1" ht="27" customHeight="1" x14ac:dyDescent="0.3">
      <c r="A108" s="43" t="s">
        <v>9</v>
      </c>
      <c r="B108" s="44" t="s">
        <v>75</v>
      </c>
      <c r="C108" s="38"/>
      <c r="D108" s="40"/>
      <c r="E108" s="41"/>
      <c r="F108" s="40"/>
      <c r="G108" s="40"/>
      <c r="H108" s="38"/>
      <c r="I108" s="42">
        <f>SUM(I109:I148)</f>
        <v>20</v>
      </c>
    </row>
    <row r="109" spans="1:9" x14ac:dyDescent="0.25">
      <c r="A109" s="18">
        <v>1</v>
      </c>
      <c r="B109" s="19" t="s">
        <v>19</v>
      </c>
      <c r="C109" s="19"/>
      <c r="D109" s="19"/>
      <c r="E109" s="19"/>
      <c r="F109" s="19"/>
      <c r="G109" s="19"/>
      <c r="H109" s="18"/>
      <c r="I109" s="19"/>
    </row>
    <row r="110" spans="1:9" ht="47.25" x14ac:dyDescent="0.25">
      <c r="A110" s="18"/>
      <c r="B110" s="19"/>
      <c r="C110" s="18" t="s">
        <v>5</v>
      </c>
      <c r="D110" s="21" t="s">
        <v>276</v>
      </c>
      <c r="E110" s="18"/>
      <c r="F110" s="21" t="s">
        <v>277</v>
      </c>
      <c r="G110" s="21"/>
      <c r="H110" s="18">
        <v>3</v>
      </c>
      <c r="I110" s="22">
        <v>1.25</v>
      </c>
    </row>
    <row r="111" spans="1:9" x14ac:dyDescent="0.25">
      <c r="A111" s="18"/>
      <c r="B111" s="19"/>
      <c r="C111" s="18" t="s">
        <v>5</v>
      </c>
      <c r="D111" s="21" t="s">
        <v>278</v>
      </c>
      <c r="E111" s="18"/>
      <c r="F111" s="21" t="s">
        <v>279</v>
      </c>
      <c r="G111" s="21"/>
      <c r="H111" s="18">
        <v>1</v>
      </c>
      <c r="I111" s="22">
        <v>0.5</v>
      </c>
    </row>
    <row r="112" spans="1:9" x14ac:dyDescent="0.25">
      <c r="A112" s="18"/>
      <c r="B112" s="19"/>
      <c r="C112" s="18" t="s">
        <v>5</v>
      </c>
      <c r="D112" s="21" t="s">
        <v>76</v>
      </c>
      <c r="E112" s="18"/>
      <c r="F112" s="21"/>
      <c r="G112" s="21"/>
      <c r="H112" s="18">
        <v>1</v>
      </c>
      <c r="I112" s="22">
        <v>0.5</v>
      </c>
    </row>
    <row r="113" spans="1:9" x14ac:dyDescent="0.25">
      <c r="A113" s="18"/>
      <c r="B113" s="19"/>
      <c r="C113" s="18" t="s">
        <v>5</v>
      </c>
      <c r="D113" s="21" t="s">
        <v>77</v>
      </c>
      <c r="E113" s="18"/>
      <c r="F113" s="21"/>
      <c r="G113" s="21"/>
      <c r="H113" s="18">
        <v>1</v>
      </c>
      <c r="I113" s="22">
        <v>0.5</v>
      </c>
    </row>
    <row r="114" spans="1:9" x14ac:dyDescent="0.25">
      <c r="A114" s="18"/>
      <c r="B114" s="19"/>
      <c r="C114" s="18" t="s">
        <v>5</v>
      </c>
      <c r="D114" s="21" t="s">
        <v>301</v>
      </c>
      <c r="E114" s="18"/>
      <c r="F114" s="21"/>
      <c r="G114" s="21"/>
      <c r="H114" s="18">
        <v>1</v>
      </c>
      <c r="I114" s="22">
        <v>1</v>
      </c>
    </row>
    <row r="115" spans="1:9" x14ac:dyDescent="0.25">
      <c r="A115" s="18">
        <v>2</v>
      </c>
      <c r="B115" s="19" t="s">
        <v>79</v>
      </c>
      <c r="C115" s="19"/>
      <c r="D115" s="19"/>
      <c r="E115" s="19"/>
      <c r="F115" s="19"/>
      <c r="G115" s="19"/>
      <c r="H115" s="18"/>
      <c r="I115" s="22"/>
    </row>
    <row r="116" spans="1:9" ht="97.5" customHeight="1" x14ac:dyDescent="0.25">
      <c r="A116" s="18"/>
      <c r="B116" s="19"/>
      <c r="C116" s="18" t="s">
        <v>5</v>
      </c>
      <c r="D116" s="21" t="s">
        <v>80</v>
      </c>
      <c r="E116" s="18"/>
      <c r="F116" s="21" t="s">
        <v>259</v>
      </c>
      <c r="G116" s="21"/>
      <c r="H116" s="18">
        <v>3</v>
      </c>
      <c r="I116" s="22">
        <v>1</v>
      </c>
    </row>
    <row r="117" spans="1:9" ht="63" x14ac:dyDescent="0.25">
      <c r="A117" s="18"/>
      <c r="B117" s="19"/>
      <c r="C117" s="18" t="s">
        <v>5</v>
      </c>
      <c r="D117" s="21" t="s">
        <v>81</v>
      </c>
      <c r="E117" s="18"/>
      <c r="F117" s="21" t="s">
        <v>218</v>
      </c>
      <c r="G117" s="21"/>
      <c r="H117" s="18">
        <v>1</v>
      </c>
      <c r="I117" s="22">
        <v>0.5</v>
      </c>
    </row>
    <row r="118" spans="1:9" ht="31.5" x14ac:dyDescent="0.25">
      <c r="A118" s="18"/>
      <c r="B118" s="19"/>
      <c r="C118" s="18" t="s">
        <v>5</v>
      </c>
      <c r="D118" s="21" t="s">
        <v>82</v>
      </c>
      <c r="E118" s="18"/>
      <c r="F118" s="21" t="s">
        <v>219</v>
      </c>
      <c r="G118" s="21"/>
      <c r="H118" s="18">
        <v>3</v>
      </c>
      <c r="I118" s="22">
        <v>2</v>
      </c>
    </row>
    <row r="119" spans="1:9" ht="47.25" x14ac:dyDescent="0.25">
      <c r="A119" s="18"/>
      <c r="B119" s="19"/>
      <c r="C119" s="18" t="s">
        <v>5</v>
      </c>
      <c r="D119" s="21" t="s">
        <v>83</v>
      </c>
      <c r="E119" s="18"/>
      <c r="F119" s="21" t="s">
        <v>220</v>
      </c>
      <c r="G119" s="21"/>
      <c r="H119" s="18">
        <v>3</v>
      </c>
      <c r="I119" s="22">
        <v>0.6</v>
      </c>
    </row>
    <row r="120" spans="1:9" ht="31.5" x14ac:dyDescent="0.25">
      <c r="A120" s="18"/>
      <c r="B120" s="19"/>
      <c r="C120" s="18" t="s">
        <v>5</v>
      </c>
      <c r="D120" s="21" t="s">
        <v>84</v>
      </c>
      <c r="E120" s="18"/>
      <c r="F120" s="21" t="s">
        <v>221</v>
      </c>
      <c r="G120" s="21"/>
      <c r="H120" s="18">
        <v>3</v>
      </c>
      <c r="I120" s="22">
        <v>0.5</v>
      </c>
    </row>
    <row r="121" spans="1:9" ht="31.5" x14ac:dyDescent="0.25">
      <c r="A121" s="18"/>
      <c r="B121" s="19"/>
      <c r="C121" s="18" t="s">
        <v>5</v>
      </c>
      <c r="D121" s="21" t="s">
        <v>85</v>
      </c>
      <c r="E121" s="18"/>
      <c r="F121" s="21" t="s">
        <v>222</v>
      </c>
      <c r="G121" s="21"/>
      <c r="H121" s="18">
        <v>3</v>
      </c>
      <c r="I121" s="22">
        <v>0.5</v>
      </c>
    </row>
    <row r="122" spans="1:9" ht="94.5" x14ac:dyDescent="0.25">
      <c r="A122" s="18"/>
      <c r="B122" s="19"/>
      <c r="C122" s="18" t="s">
        <v>5</v>
      </c>
      <c r="D122" s="21" t="s">
        <v>76</v>
      </c>
      <c r="E122" s="18"/>
      <c r="F122" s="21" t="s">
        <v>223</v>
      </c>
      <c r="G122" s="21"/>
      <c r="H122" s="18">
        <v>3</v>
      </c>
      <c r="I122" s="22">
        <v>0.65</v>
      </c>
    </row>
    <row r="123" spans="1:9" ht="63" x14ac:dyDescent="0.25">
      <c r="A123" s="18"/>
      <c r="B123" s="19"/>
      <c r="C123" s="18" t="s">
        <v>5</v>
      </c>
      <c r="D123" s="21" t="s">
        <v>121</v>
      </c>
      <c r="E123" s="18"/>
      <c r="F123" s="21" t="s">
        <v>224</v>
      </c>
      <c r="G123" s="21"/>
      <c r="H123" s="18">
        <v>3</v>
      </c>
      <c r="I123" s="22">
        <v>0.75</v>
      </c>
    </row>
    <row r="124" spans="1:9" ht="63" x14ac:dyDescent="0.25">
      <c r="A124" s="18"/>
      <c r="B124" s="19"/>
      <c r="C124" s="18" t="s">
        <v>5</v>
      </c>
      <c r="D124" s="21" t="s">
        <v>86</v>
      </c>
      <c r="E124" s="18"/>
      <c r="F124" s="21" t="s">
        <v>225</v>
      </c>
      <c r="G124" s="21"/>
      <c r="H124" s="18">
        <v>3</v>
      </c>
      <c r="I124" s="22">
        <v>0.25</v>
      </c>
    </row>
    <row r="125" spans="1:9" ht="36" customHeight="1" x14ac:dyDescent="0.25">
      <c r="A125" s="18"/>
      <c r="B125" s="19"/>
      <c r="C125" s="18" t="s">
        <v>5</v>
      </c>
      <c r="D125" s="21" t="s">
        <v>87</v>
      </c>
      <c r="E125" s="18"/>
      <c r="F125" s="21" t="s">
        <v>226</v>
      </c>
      <c r="G125" s="21"/>
      <c r="H125" s="18">
        <v>3</v>
      </c>
      <c r="I125" s="22">
        <v>0.25</v>
      </c>
    </row>
    <row r="126" spans="1:9" ht="63" x14ac:dyDescent="0.25">
      <c r="A126" s="18"/>
      <c r="B126" s="19"/>
      <c r="C126" s="18" t="s">
        <v>5</v>
      </c>
      <c r="D126" s="21" t="s">
        <v>77</v>
      </c>
      <c r="E126" s="18"/>
      <c r="F126" s="21" t="s">
        <v>260</v>
      </c>
      <c r="G126" s="21"/>
      <c r="H126" s="18">
        <v>3</v>
      </c>
      <c r="I126" s="22">
        <v>1.5</v>
      </c>
    </row>
    <row r="127" spans="1:9" ht="47.25" x14ac:dyDescent="0.25">
      <c r="A127" s="18"/>
      <c r="B127" s="19"/>
      <c r="C127" s="18" t="s">
        <v>5</v>
      </c>
      <c r="D127" s="21" t="s">
        <v>88</v>
      </c>
      <c r="E127" s="18"/>
      <c r="F127" s="21" t="s">
        <v>227</v>
      </c>
      <c r="G127" s="21"/>
      <c r="H127" s="18">
        <v>3</v>
      </c>
      <c r="I127" s="22">
        <v>0.5</v>
      </c>
    </row>
    <row r="128" spans="1:9" ht="47.25" x14ac:dyDescent="0.25">
      <c r="A128" s="18"/>
      <c r="B128" s="19"/>
      <c r="C128" s="18" t="s">
        <v>5</v>
      </c>
      <c r="D128" s="21" t="s">
        <v>89</v>
      </c>
      <c r="E128" s="18"/>
      <c r="F128" s="21" t="s">
        <v>228</v>
      </c>
      <c r="G128" s="21"/>
      <c r="H128" s="18">
        <v>3</v>
      </c>
      <c r="I128" s="22">
        <v>0.25</v>
      </c>
    </row>
    <row r="129" spans="1:9" ht="110.25" x14ac:dyDescent="0.25">
      <c r="A129" s="18"/>
      <c r="B129" s="19"/>
      <c r="C129" s="18" t="s">
        <v>5</v>
      </c>
      <c r="D129" s="21" t="s">
        <v>78</v>
      </c>
      <c r="E129" s="18"/>
      <c r="F129" s="21" t="s">
        <v>287</v>
      </c>
      <c r="G129" s="21"/>
      <c r="H129" s="18">
        <v>3</v>
      </c>
      <c r="I129" s="22">
        <v>2</v>
      </c>
    </row>
    <row r="130" spans="1:9" ht="63" x14ac:dyDescent="0.25">
      <c r="A130" s="18"/>
      <c r="B130" s="19"/>
      <c r="C130" s="18" t="s">
        <v>5</v>
      </c>
      <c r="D130" s="21" t="s">
        <v>90</v>
      </c>
      <c r="E130" s="18"/>
      <c r="F130" s="21" t="s">
        <v>229</v>
      </c>
      <c r="G130" s="21"/>
      <c r="H130" s="18">
        <v>3</v>
      </c>
      <c r="I130" s="22">
        <v>0.5</v>
      </c>
    </row>
    <row r="131" spans="1:9" ht="31.5" x14ac:dyDescent="0.25">
      <c r="A131" s="18"/>
      <c r="B131" s="19"/>
      <c r="C131" s="18" t="s">
        <v>5</v>
      </c>
      <c r="D131" s="21" t="s">
        <v>283</v>
      </c>
      <c r="E131" s="18"/>
      <c r="F131" s="21" t="s">
        <v>284</v>
      </c>
      <c r="G131" s="21"/>
      <c r="H131" s="18">
        <v>3</v>
      </c>
      <c r="I131" s="22">
        <v>1</v>
      </c>
    </row>
    <row r="132" spans="1:9" ht="31.5" x14ac:dyDescent="0.25">
      <c r="A132" s="18"/>
      <c r="B132" s="19"/>
      <c r="C132" s="18" t="s">
        <v>5</v>
      </c>
      <c r="D132" s="21" t="s">
        <v>285</v>
      </c>
      <c r="E132" s="18"/>
      <c r="F132" s="21" t="s">
        <v>286</v>
      </c>
      <c r="G132" s="21"/>
      <c r="H132" s="18">
        <v>3</v>
      </c>
      <c r="I132" s="22">
        <v>1.5</v>
      </c>
    </row>
    <row r="133" spans="1:9" x14ac:dyDescent="0.25">
      <c r="A133" s="18"/>
      <c r="B133" s="19"/>
      <c r="C133" s="24" t="s">
        <v>6</v>
      </c>
      <c r="D133" s="21" t="s">
        <v>77</v>
      </c>
      <c r="E133" s="18"/>
      <c r="F133" s="21"/>
      <c r="G133" s="21"/>
      <c r="H133" s="18">
        <v>3</v>
      </c>
      <c r="I133" s="22">
        <v>0.25</v>
      </c>
    </row>
    <row r="134" spans="1:9" x14ac:dyDescent="0.25">
      <c r="A134" s="18"/>
      <c r="B134" s="19"/>
      <c r="C134" s="18"/>
      <c r="D134" s="21"/>
      <c r="E134" s="18">
        <v>0</v>
      </c>
      <c r="F134" s="21" t="s">
        <v>74</v>
      </c>
      <c r="G134" s="21"/>
      <c r="H134" s="18"/>
      <c r="I134" s="22"/>
    </row>
    <row r="135" spans="1:9" x14ac:dyDescent="0.25">
      <c r="A135" s="18"/>
      <c r="B135" s="19"/>
      <c r="C135" s="18"/>
      <c r="D135" s="21"/>
      <c r="E135" s="18">
        <v>1</v>
      </c>
      <c r="F135" s="21" t="s">
        <v>156</v>
      </c>
      <c r="G135" s="21"/>
      <c r="H135" s="18"/>
      <c r="I135" s="22"/>
    </row>
    <row r="136" spans="1:9" x14ac:dyDescent="0.25">
      <c r="A136" s="18"/>
      <c r="B136" s="19"/>
      <c r="C136" s="18"/>
      <c r="D136" s="21"/>
      <c r="E136" s="18">
        <v>2</v>
      </c>
      <c r="F136" s="21" t="s">
        <v>157</v>
      </c>
      <c r="G136" s="21"/>
      <c r="H136" s="18"/>
      <c r="I136" s="22"/>
    </row>
    <row r="137" spans="1:9" ht="31.5" x14ac:dyDescent="0.25">
      <c r="A137" s="18"/>
      <c r="B137" s="19"/>
      <c r="C137" s="18"/>
      <c r="D137" s="21"/>
      <c r="E137" s="18">
        <v>3</v>
      </c>
      <c r="F137" s="21" t="s">
        <v>122</v>
      </c>
      <c r="G137" s="21"/>
      <c r="H137" s="18"/>
      <c r="I137" s="22"/>
    </row>
    <row r="138" spans="1:9" x14ac:dyDescent="0.25">
      <c r="A138" s="18"/>
      <c r="B138" s="19"/>
      <c r="C138" s="24" t="s">
        <v>6</v>
      </c>
      <c r="D138" s="21" t="s">
        <v>80</v>
      </c>
      <c r="E138" s="18"/>
      <c r="F138" s="21"/>
      <c r="G138" s="21"/>
      <c r="H138" s="18">
        <v>3</v>
      </c>
      <c r="I138" s="22">
        <v>1</v>
      </c>
    </row>
    <row r="139" spans="1:9" x14ac:dyDescent="0.25">
      <c r="A139" s="18"/>
      <c r="B139" s="19"/>
      <c r="C139" s="18"/>
      <c r="D139" s="21"/>
      <c r="E139" s="18">
        <v>0</v>
      </c>
      <c r="F139" s="21" t="s">
        <v>74</v>
      </c>
      <c r="G139" s="21"/>
      <c r="H139" s="18"/>
      <c r="I139" s="22"/>
    </row>
    <row r="140" spans="1:9" x14ac:dyDescent="0.25">
      <c r="A140" s="18"/>
      <c r="B140" s="19"/>
      <c r="C140" s="18"/>
      <c r="D140" s="21"/>
      <c r="E140" s="18">
        <v>1</v>
      </c>
      <c r="F140" s="21" t="s">
        <v>159</v>
      </c>
      <c r="G140" s="21"/>
      <c r="H140" s="18"/>
      <c r="I140" s="22"/>
    </row>
    <row r="141" spans="1:9" x14ac:dyDescent="0.25">
      <c r="A141" s="18"/>
      <c r="B141" s="19"/>
      <c r="C141" s="18"/>
      <c r="D141" s="21"/>
      <c r="E141" s="18">
        <v>2</v>
      </c>
      <c r="F141" s="21" t="s">
        <v>158</v>
      </c>
      <c r="G141" s="21"/>
      <c r="H141" s="18"/>
      <c r="I141" s="22"/>
    </row>
    <row r="142" spans="1:9" x14ac:dyDescent="0.25">
      <c r="A142" s="18"/>
      <c r="B142" s="19"/>
      <c r="C142" s="18"/>
      <c r="D142" s="21"/>
      <c r="E142" s="18">
        <v>3</v>
      </c>
      <c r="F142" s="21" t="s">
        <v>123</v>
      </c>
      <c r="G142" s="21"/>
      <c r="H142" s="18"/>
      <c r="I142" s="22"/>
    </row>
    <row r="143" spans="1:9" x14ac:dyDescent="0.25">
      <c r="A143" s="18"/>
      <c r="B143" s="19"/>
      <c r="C143" s="24" t="s">
        <v>6</v>
      </c>
      <c r="D143" s="21" t="s">
        <v>280</v>
      </c>
      <c r="E143" s="18"/>
      <c r="F143" s="21"/>
      <c r="G143" s="21"/>
      <c r="H143" s="18">
        <v>3</v>
      </c>
      <c r="I143" s="22">
        <v>0.75</v>
      </c>
    </row>
    <row r="144" spans="1:9" x14ac:dyDescent="0.25">
      <c r="A144" s="18"/>
      <c r="B144" s="19"/>
      <c r="C144" s="18"/>
      <c r="D144" s="19"/>
      <c r="E144" s="18">
        <v>0</v>
      </c>
      <c r="F144" s="21" t="s">
        <v>74</v>
      </c>
      <c r="G144" s="21"/>
      <c r="H144" s="18"/>
      <c r="I144" s="22"/>
    </row>
    <row r="145" spans="1:9" x14ac:dyDescent="0.25">
      <c r="A145" s="18"/>
      <c r="B145" s="19"/>
      <c r="C145" s="18"/>
      <c r="D145" s="19"/>
      <c r="E145" s="18">
        <v>1</v>
      </c>
      <c r="F145" s="21" t="s">
        <v>288</v>
      </c>
      <c r="G145" s="21"/>
      <c r="H145" s="18"/>
      <c r="I145" s="22"/>
    </row>
    <row r="146" spans="1:9" x14ac:dyDescent="0.25">
      <c r="A146" s="18"/>
      <c r="B146" s="19"/>
      <c r="C146" s="18"/>
      <c r="D146" s="19"/>
      <c r="E146" s="18">
        <v>2</v>
      </c>
      <c r="F146" s="21" t="s">
        <v>281</v>
      </c>
      <c r="G146" s="21"/>
      <c r="H146" s="18"/>
      <c r="I146" s="22"/>
    </row>
    <row r="147" spans="1:9" x14ac:dyDescent="0.25">
      <c r="A147" s="18"/>
      <c r="B147" s="19"/>
      <c r="C147" s="18"/>
      <c r="D147" s="19"/>
      <c r="E147" s="18">
        <v>3</v>
      </c>
      <c r="F147" s="21" t="s">
        <v>282</v>
      </c>
      <c r="G147" s="21"/>
      <c r="H147" s="18"/>
      <c r="I147" s="22"/>
    </row>
    <row r="148" spans="1:9" x14ac:dyDescent="0.25">
      <c r="A148" s="32"/>
      <c r="B148" s="33"/>
      <c r="C148" s="34"/>
      <c r="D148" s="21"/>
      <c r="E148" s="18"/>
      <c r="F148" s="21"/>
      <c r="G148" s="21"/>
      <c r="H148" s="34"/>
      <c r="I148" s="23"/>
    </row>
    <row r="149" spans="1:9" s="1" customFormat="1" ht="18.75" x14ac:dyDescent="0.3">
      <c r="A149" s="15" t="s">
        <v>10</v>
      </c>
      <c r="B149" s="16" t="s">
        <v>91</v>
      </c>
      <c r="C149" s="15"/>
      <c r="D149" s="36"/>
      <c r="E149" s="37"/>
      <c r="F149" s="36"/>
      <c r="G149" s="36"/>
      <c r="H149" s="15"/>
      <c r="I149" s="17">
        <f>SUM(I150:I175)</f>
        <v>9</v>
      </c>
    </row>
    <row r="150" spans="1:9" x14ac:dyDescent="0.25">
      <c r="A150" s="18">
        <v>1</v>
      </c>
      <c r="B150" s="19" t="s">
        <v>19</v>
      </c>
      <c r="C150" s="19"/>
      <c r="D150" s="19"/>
      <c r="E150" s="19"/>
      <c r="F150" s="19"/>
      <c r="G150" s="19"/>
      <c r="H150" s="18"/>
      <c r="I150" s="19"/>
    </row>
    <row r="151" spans="1:9" ht="157.5" x14ac:dyDescent="0.25">
      <c r="A151" s="18"/>
      <c r="B151" s="19"/>
      <c r="C151" s="18" t="s">
        <v>5</v>
      </c>
      <c r="D151" s="21" t="s">
        <v>92</v>
      </c>
      <c r="E151" s="18"/>
      <c r="F151" s="21" t="s">
        <v>230</v>
      </c>
      <c r="G151" s="21"/>
      <c r="H151" s="18">
        <v>1</v>
      </c>
      <c r="I151" s="22">
        <v>2</v>
      </c>
    </row>
    <row r="152" spans="1:9" x14ac:dyDescent="0.25">
      <c r="A152" s="18">
        <v>2</v>
      </c>
      <c r="B152" s="19" t="s">
        <v>21</v>
      </c>
      <c r="C152" s="18"/>
      <c r="D152" s="21"/>
      <c r="E152" s="19"/>
      <c r="F152" s="19"/>
      <c r="G152" s="19"/>
      <c r="H152" s="18"/>
      <c r="I152" s="22"/>
    </row>
    <row r="153" spans="1:9" x14ac:dyDescent="0.25">
      <c r="A153" s="18"/>
      <c r="B153" s="19"/>
      <c r="C153" s="18" t="s">
        <v>5</v>
      </c>
      <c r="D153" s="21" t="s">
        <v>94</v>
      </c>
      <c r="E153" s="18"/>
      <c r="F153" s="21" t="s">
        <v>231</v>
      </c>
      <c r="G153" s="21"/>
      <c r="H153" s="18">
        <v>1</v>
      </c>
      <c r="I153" s="22">
        <v>0.5</v>
      </c>
    </row>
    <row r="154" spans="1:9" x14ac:dyDescent="0.25">
      <c r="A154" s="18"/>
      <c r="B154" s="19"/>
      <c r="C154" s="18" t="s">
        <v>5</v>
      </c>
      <c r="D154" s="21" t="s">
        <v>92</v>
      </c>
      <c r="E154" s="18"/>
      <c r="F154" s="21" t="s">
        <v>232</v>
      </c>
      <c r="G154" s="21"/>
      <c r="H154" s="18">
        <v>1</v>
      </c>
      <c r="I154" s="22">
        <v>0.5</v>
      </c>
    </row>
    <row r="155" spans="1:9" x14ac:dyDescent="0.25">
      <c r="A155" s="18">
        <v>3</v>
      </c>
      <c r="B155" s="19" t="s">
        <v>21</v>
      </c>
      <c r="C155" s="19"/>
      <c r="D155" s="21"/>
      <c r="E155" s="19"/>
      <c r="F155" s="19"/>
      <c r="G155" s="19"/>
      <c r="H155" s="18"/>
      <c r="I155" s="22"/>
    </row>
    <row r="156" spans="1:9" ht="110.25" x14ac:dyDescent="0.25">
      <c r="A156" s="18"/>
      <c r="B156" s="19"/>
      <c r="C156" s="18" t="s">
        <v>5</v>
      </c>
      <c r="D156" s="21" t="s">
        <v>94</v>
      </c>
      <c r="E156" s="24"/>
      <c r="F156" s="25" t="s">
        <v>233</v>
      </c>
      <c r="G156" s="25"/>
      <c r="H156" s="18">
        <v>3</v>
      </c>
      <c r="I156" s="22">
        <v>1.35</v>
      </c>
    </row>
    <row r="157" spans="1:9" ht="31.5" x14ac:dyDescent="0.25">
      <c r="A157" s="18"/>
      <c r="B157" s="19"/>
      <c r="C157" s="18" t="s">
        <v>5</v>
      </c>
      <c r="D157" s="21" t="s">
        <v>95</v>
      </c>
      <c r="E157" s="24"/>
      <c r="F157" s="25" t="s">
        <v>234</v>
      </c>
      <c r="G157" s="25"/>
      <c r="H157" s="18">
        <v>3</v>
      </c>
      <c r="I157" s="22">
        <v>0.5</v>
      </c>
    </row>
    <row r="158" spans="1:9" ht="31.5" x14ac:dyDescent="0.25">
      <c r="A158" s="18"/>
      <c r="B158" s="19"/>
      <c r="C158" s="18" t="s">
        <v>5</v>
      </c>
      <c r="D158" s="21" t="s">
        <v>96</v>
      </c>
      <c r="E158" s="24"/>
      <c r="F158" s="25" t="s">
        <v>235</v>
      </c>
      <c r="G158" s="25"/>
      <c r="H158" s="18">
        <v>3</v>
      </c>
      <c r="I158" s="22">
        <v>0.2</v>
      </c>
    </row>
    <row r="159" spans="1:9" ht="31.5" x14ac:dyDescent="0.25">
      <c r="A159" s="18"/>
      <c r="B159" s="19"/>
      <c r="C159" s="18" t="s">
        <v>5</v>
      </c>
      <c r="D159" s="21" t="s">
        <v>97</v>
      </c>
      <c r="E159" s="24"/>
      <c r="F159" s="25" t="s">
        <v>236</v>
      </c>
      <c r="G159" s="25"/>
      <c r="H159" s="18">
        <v>3</v>
      </c>
      <c r="I159" s="22">
        <v>0.1</v>
      </c>
    </row>
    <row r="160" spans="1:9" ht="47.25" x14ac:dyDescent="0.25">
      <c r="A160" s="18"/>
      <c r="B160" s="19"/>
      <c r="C160" s="18" t="s">
        <v>5</v>
      </c>
      <c r="D160" s="21" t="s">
        <v>98</v>
      </c>
      <c r="E160" s="24"/>
      <c r="F160" s="25" t="s">
        <v>237</v>
      </c>
      <c r="G160" s="25"/>
      <c r="H160" s="18">
        <v>1</v>
      </c>
      <c r="I160" s="22">
        <v>0.6</v>
      </c>
    </row>
    <row r="161" spans="1:9" ht="47.25" x14ac:dyDescent="0.25">
      <c r="A161" s="18"/>
      <c r="B161" s="19"/>
      <c r="C161" s="18" t="s">
        <v>5</v>
      </c>
      <c r="D161" s="21" t="s">
        <v>303</v>
      </c>
      <c r="E161" s="24"/>
      <c r="F161" s="25" t="s">
        <v>304</v>
      </c>
      <c r="G161" s="25"/>
      <c r="H161" s="18">
        <v>3</v>
      </c>
      <c r="I161" s="22">
        <v>0.3</v>
      </c>
    </row>
    <row r="162" spans="1:9" ht="63" x14ac:dyDescent="0.25">
      <c r="A162" s="18"/>
      <c r="B162" s="19"/>
      <c r="C162" s="18" t="s">
        <v>5</v>
      </c>
      <c r="D162" s="21" t="s">
        <v>92</v>
      </c>
      <c r="E162" s="24"/>
      <c r="F162" s="25" t="s">
        <v>238</v>
      </c>
      <c r="G162" s="25"/>
      <c r="H162" s="18">
        <v>1</v>
      </c>
      <c r="I162" s="22">
        <v>0.4</v>
      </c>
    </row>
    <row r="163" spans="1:9" ht="47.25" x14ac:dyDescent="0.25">
      <c r="A163" s="18"/>
      <c r="B163" s="19"/>
      <c r="C163" s="18" t="s">
        <v>5</v>
      </c>
      <c r="D163" s="21" t="s">
        <v>99</v>
      </c>
      <c r="E163" s="24"/>
      <c r="F163" s="25" t="s">
        <v>239</v>
      </c>
      <c r="G163" s="25"/>
      <c r="H163" s="18">
        <v>3</v>
      </c>
      <c r="I163" s="22">
        <v>0.3</v>
      </c>
    </row>
    <row r="164" spans="1:9" ht="94.5" x14ac:dyDescent="0.25">
      <c r="A164" s="18"/>
      <c r="B164" s="19"/>
      <c r="C164" s="18" t="s">
        <v>5</v>
      </c>
      <c r="D164" s="21" t="s">
        <v>93</v>
      </c>
      <c r="E164" s="18"/>
      <c r="F164" s="21" t="s">
        <v>240</v>
      </c>
      <c r="G164" s="21"/>
      <c r="H164" s="18">
        <v>1</v>
      </c>
      <c r="I164" s="22">
        <v>1</v>
      </c>
    </row>
    <row r="165" spans="1:9" ht="78.75" x14ac:dyDescent="0.25">
      <c r="A165" s="18"/>
      <c r="B165" s="19"/>
      <c r="C165" s="18" t="s">
        <v>5</v>
      </c>
      <c r="D165" s="21" t="s">
        <v>100</v>
      </c>
      <c r="E165" s="18"/>
      <c r="F165" s="21" t="s">
        <v>241</v>
      </c>
      <c r="G165" s="21"/>
      <c r="H165" s="18">
        <v>3</v>
      </c>
      <c r="I165" s="22">
        <v>0.75</v>
      </c>
    </row>
    <row r="166" spans="1:9" x14ac:dyDescent="0.25">
      <c r="A166" s="18"/>
      <c r="B166" s="19"/>
      <c r="C166" s="24" t="s">
        <v>6</v>
      </c>
      <c r="D166" s="21" t="s">
        <v>94</v>
      </c>
      <c r="E166" s="18"/>
      <c r="F166" s="21"/>
      <c r="G166" s="21"/>
      <c r="H166" s="18">
        <v>3</v>
      </c>
      <c r="I166" s="22">
        <v>0.25</v>
      </c>
    </row>
    <row r="167" spans="1:9" x14ac:dyDescent="0.25">
      <c r="A167" s="18"/>
      <c r="B167" s="19"/>
      <c r="C167" s="18"/>
      <c r="D167" s="21"/>
      <c r="E167" s="18">
        <v>0</v>
      </c>
      <c r="F167" s="21" t="s">
        <v>74</v>
      </c>
      <c r="G167" s="21"/>
      <c r="H167" s="18"/>
      <c r="I167" s="22"/>
    </row>
    <row r="168" spans="1:9" x14ac:dyDescent="0.25">
      <c r="A168" s="18"/>
      <c r="B168" s="19"/>
      <c r="C168" s="18"/>
      <c r="D168" s="21"/>
      <c r="E168" s="18">
        <v>1</v>
      </c>
      <c r="F168" s="21" t="s">
        <v>163</v>
      </c>
      <c r="G168" s="21"/>
      <c r="H168" s="18"/>
      <c r="I168" s="22"/>
    </row>
    <row r="169" spans="1:9" x14ac:dyDescent="0.25">
      <c r="A169" s="18"/>
      <c r="B169" s="19"/>
      <c r="C169" s="18"/>
      <c r="D169" s="21"/>
      <c r="E169" s="18">
        <v>2</v>
      </c>
      <c r="F169" s="21" t="s">
        <v>160</v>
      </c>
      <c r="G169" s="21"/>
      <c r="H169" s="18"/>
      <c r="I169" s="22"/>
    </row>
    <row r="170" spans="1:9" x14ac:dyDescent="0.25">
      <c r="A170" s="18"/>
      <c r="B170" s="19"/>
      <c r="C170" s="18"/>
      <c r="D170" s="21"/>
      <c r="E170" s="18">
        <v>3</v>
      </c>
      <c r="F170" s="21" t="s">
        <v>124</v>
      </c>
      <c r="G170" s="21"/>
      <c r="H170" s="18"/>
      <c r="I170" s="22"/>
    </row>
    <row r="171" spans="1:9" x14ac:dyDescent="0.25">
      <c r="A171" s="18"/>
      <c r="B171" s="19"/>
      <c r="C171" s="24" t="s">
        <v>6</v>
      </c>
      <c r="D171" s="21" t="s">
        <v>92</v>
      </c>
      <c r="E171" s="18"/>
      <c r="F171" s="21"/>
      <c r="G171" s="21"/>
      <c r="H171" s="18">
        <v>3</v>
      </c>
      <c r="I171" s="22">
        <v>0.25</v>
      </c>
    </row>
    <row r="172" spans="1:9" x14ac:dyDescent="0.25">
      <c r="A172" s="18"/>
      <c r="B172" s="19"/>
      <c r="C172" s="18"/>
      <c r="D172" s="21"/>
      <c r="E172" s="18">
        <v>0</v>
      </c>
      <c r="F172" s="21" t="s">
        <v>74</v>
      </c>
      <c r="G172" s="21"/>
      <c r="H172" s="18"/>
      <c r="I172" s="22"/>
    </row>
    <row r="173" spans="1:9" x14ac:dyDescent="0.25">
      <c r="A173" s="18"/>
      <c r="B173" s="19"/>
      <c r="C173" s="18"/>
      <c r="D173" s="21"/>
      <c r="E173" s="18">
        <v>1</v>
      </c>
      <c r="F173" s="21" t="s">
        <v>161</v>
      </c>
      <c r="G173" s="21"/>
      <c r="H173" s="18"/>
      <c r="I173" s="22"/>
    </row>
    <row r="174" spans="1:9" x14ac:dyDescent="0.25">
      <c r="A174" s="18"/>
      <c r="B174" s="19"/>
      <c r="C174" s="18"/>
      <c r="D174" s="21"/>
      <c r="E174" s="18">
        <v>2</v>
      </c>
      <c r="F174" s="21" t="s">
        <v>162</v>
      </c>
      <c r="G174" s="21"/>
      <c r="H174" s="18"/>
      <c r="I174" s="22"/>
    </row>
    <row r="175" spans="1:9" ht="31.5" x14ac:dyDescent="0.25">
      <c r="A175" s="18"/>
      <c r="B175" s="19"/>
      <c r="C175" s="18"/>
      <c r="D175" s="21"/>
      <c r="E175" s="18">
        <v>3</v>
      </c>
      <c r="F175" s="21" t="s">
        <v>125</v>
      </c>
      <c r="G175" s="21"/>
      <c r="H175" s="18"/>
      <c r="I175" s="22"/>
    </row>
    <row r="176" spans="1:9" x14ac:dyDescent="0.25">
      <c r="A176" s="34"/>
      <c r="B176" s="33"/>
      <c r="C176" s="34"/>
      <c r="D176" s="21"/>
      <c r="E176" s="18"/>
      <c r="F176" s="21"/>
      <c r="G176" s="21"/>
      <c r="H176" s="34"/>
      <c r="I176" s="23"/>
    </row>
    <row r="177" spans="1:9" x14ac:dyDescent="0.25">
      <c r="A177" s="34"/>
      <c r="B177" s="33"/>
      <c r="C177" s="34"/>
      <c r="D177" s="21"/>
      <c r="E177" s="18"/>
      <c r="F177" s="21"/>
      <c r="G177" s="21"/>
      <c r="H177" s="34"/>
      <c r="I177" s="23"/>
    </row>
    <row r="178" spans="1:9" ht="26.25" customHeight="1" x14ac:dyDescent="0.3">
      <c r="A178" s="43" t="s">
        <v>101</v>
      </c>
      <c r="B178" s="44" t="s">
        <v>103</v>
      </c>
      <c r="C178" s="38"/>
      <c r="D178" s="40"/>
      <c r="E178" s="41"/>
      <c r="F178" s="40"/>
      <c r="G178" s="40"/>
      <c r="H178" s="38"/>
      <c r="I178" s="42">
        <f>SUM(I179:I188)</f>
        <v>8</v>
      </c>
    </row>
    <row r="179" spans="1:9" x14ac:dyDescent="0.25">
      <c r="A179" s="18">
        <v>1</v>
      </c>
      <c r="B179" s="19" t="s">
        <v>79</v>
      </c>
      <c r="C179" s="19"/>
      <c r="D179" s="19"/>
      <c r="E179" s="19"/>
      <c r="F179" s="19"/>
      <c r="G179" s="19"/>
      <c r="H179" s="18"/>
      <c r="I179" s="19"/>
    </row>
    <row r="180" spans="1:9" x14ac:dyDescent="0.25">
      <c r="A180" s="18"/>
      <c r="B180" s="19"/>
      <c r="C180" s="18" t="s">
        <v>5</v>
      </c>
      <c r="D180" s="21" t="s">
        <v>105</v>
      </c>
      <c r="E180" s="18"/>
      <c r="F180" s="21" t="s">
        <v>291</v>
      </c>
      <c r="G180" s="21"/>
      <c r="H180" s="18">
        <v>2</v>
      </c>
      <c r="I180" s="22">
        <v>2</v>
      </c>
    </row>
    <row r="181" spans="1:9" ht="47.25" x14ac:dyDescent="0.25">
      <c r="A181" s="18"/>
      <c r="B181" s="19"/>
      <c r="C181" s="18" t="s">
        <v>5</v>
      </c>
      <c r="D181" s="21" t="s">
        <v>127</v>
      </c>
      <c r="E181" s="24"/>
      <c r="F181" s="25" t="s">
        <v>242</v>
      </c>
      <c r="G181" s="25"/>
      <c r="H181" s="18">
        <v>3</v>
      </c>
      <c r="I181" s="22">
        <v>2</v>
      </c>
    </row>
    <row r="182" spans="1:9" ht="47.25" x14ac:dyDescent="0.25">
      <c r="A182" s="18"/>
      <c r="B182" s="19"/>
      <c r="C182" s="24" t="s">
        <v>6</v>
      </c>
      <c r="D182" s="21" t="s">
        <v>127</v>
      </c>
      <c r="E182" s="18"/>
      <c r="F182" s="21"/>
      <c r="G182" s="21"/>
      <c r="H182" s="18">
        <v>3</v>
      </c>
      <c r="I182" s="22">
        <v>2</v>
      </c>
    </row>
    <row r="183" spans="1:9" x14ac:dyDescent="0.25">
      <c r="A183" s="18"/>
      <c r="B183" s="19"/>
      <c r="C183" s="18"/>
      <c r="D183" s="19"/>
      <c r="E183" s="18">
        <v>0</v>
      </c>
      <c r="F183" s="21" t="s">
        <v>74</v>
      </c>
      <c r="G183" s="21"/>
      <c r="H183" s="18"/>
      <c r="I183" s="22"/>
    </row>
    <row r="184" spans="1:9" x14ac:dyDescent="0.25">
      <c r="A184" s="18"/>
      <c r="B184" s="19"/>
      <c r="C184" s="18"/>
      <c r="D184" s="19"/>
      <c r="E184" s="18">
        <v>1</v>
      </c>
      <c r="F184" s="21" t="s">
        <v>164</v>
      </c>
      <c r="G184" s="21"/>
      <c r="H184" s="18"/>
      <c r="I184" s="22"/>
    </row>
    <row r="185" spans="1:9" x14ac:dyDescent="0.25">
      <c r="A185" s="18"/>
      <c r="B185" s="19"/>
      <c r="C185" s="18"/>
      <c r="D185" s="19"/>
      <c r="E185" s="18">
        <v>2</v>
      </c>
      <c r="F185" s="21" t="s">
        <v>165</v>
      </c>
      <c r="G185" s="21"/>
      <c r="H185" s="18"/>
      <c r="I185" s="22"/>
    </row>
    <row r="186" spans="1:9" x14ac:dyDescent="0.25">
      <c r="A186" s="18"/>
      <c r="B186" s="19"/>
      <c r="C186" s="18"/>
      <c r="D186" s="19"/>
      <c r="E186" s="18">
        <v>3</v>
      </c>
      <c r="F186" s="21" t="s">
        <v>126</v>
      </c>
      <c r="G186" s="21"/>
      <c r="H186" s="18"/>
      <c r="I186" s="22"/>
    </row>
    <row r="187" spans="1:9" ht="78.75" x14ac:dyDescent="0.25">
      <c r="A187" s="24"/>
      <c r="B187" s="21"/>
      <c r="C187" s="18" t="s">
        <v>5</v>
      </c>
      <c r="D187" s="21" t="s">
        <v>289</v>
      </c>
      <c r="E187" s="24"/>
      <c r="F187" s="21"/>
      <c r="G187" s="18"/>
      <c r="H187" s="20">
        <v>2</v>
      </c>
      <c r="I187" s="22">
        <v>1</v>
      </c>
    </row>
    <row r="188" spans="1:9" ht="78.75" x14ac:dyDescent="0.25">
      <c r="A188" s="18"/>
      <c r="B188" s="19"/>
      <c r="C188" s="18" t="s">
        <v>5</v>
      </c>
      <c r="D188" s="21" t="s">
        <v>290</v>
      </c>
      <c r="E188" s="18"/>
      <c r="F188" s="19"/>
      <c r="G188" s="18"/>
      <c r="H188" s="20">
        <v>2</v>
      </c>
      <c r="I188" s="22">
        <v>1</v>
      </c>
    </row>
    <row r="189" spans="1:9" ht="26.25" customHeight="1" x14ac:dyDescent="0.3">
      <c r="A189" s="43" t="s">
        <v>102</v>
      </c>
      <c r="B189" s="44" t="s">
        <v>104</v>
      </c>
      <c r="C189" s="38"/>
      <c r="D189" s="40"/>
      <c r="E189" s="41"/>
      <c r="F189" s="40"/>
      <c r="G189" s="40"/>
      <c r="H189" s="38"/>
      <c r="I189" s="42">
        <f>SUM(I190:I242)</f>
        <v>24</v>
      </c>
    </row>
    <row r="190" spans="1:9" x14ac:dyDescent="0.25">
      <c r="A190" s="18">
        <v>1</v>
      </c>
      <c r="B190" s="19" t="s">
        <v>21</v>
      </c>
      <c r="C190" s="19"/>
      <c r="D190" s="19"/>
      <c r="E190" s="19"/>
      <c r="F190" s="19"/>
      <c r="G190" s="19"/>
      <c r="H190" s="18"/>
      <c r="I190" s="19"/>
    </row>
    <row r="191" spans="1:9" ht="94.5" x14ac:dyDescent="0.25">
      <c r="A191" s="18"/>
      <c r="B191" s="19"/>
      <c r="C191" s="18" t="s">
        <v>5</v>
      </c>
      <c r="D191" s="21" t="s">
        <v>108</v>
      </c>
      <c r="E191" s="19"/>
      <c r="F191" s="21" t="s">
        <v>243</v>
      </c>
      <c r="G191" s="19"/>
      <c r="H191" s="18">
        <v>5</v>
      </c>
      <c r="I191" s="22">
        <v>1.1000000000000001</v>
      </c>
    </row>
    <row r="192" spans="1:9" ht="31.5" x14ac:dyDescent="0.25">
      <c r="A192" s="18"/>
      <c r="B192" s="19"/>
      <c r="C192" s="18" t="s">
        <v>5</v>
      </c>
      <c r="D192" s="21" t="s">
        <v>109</v>
      </c>
      <c r="E192" s="19"/>
      <c r="F192" s="21" t="s">
        <v>302</v>
      </c>
      <c r="G192" s="19"/>
      <c r="H192" s="18">
        <v>5</v>
      </c>
      <c r="I192" s="22">
        <v>0.4</v>
      </c>
    </row>
    <row r="193" spans="1:9" x14ac:dyDescent="0.25">
      <c r="A193" s="18"/>
      <c r="B193" s="19" t="s">
        <v>128</v>
      </c>
      <c r="C193" s="24" t="s">
        <v>6</v>
      </c>
      <c r="D193" s="19" t="s">
        <v>166</v>
      </c>
      <c r="E193" s="18"/>
      <c r="F193" s="21"/>
      <c r="G193" s="21"/>
      <c r="H193" s="18">
        <v>5</v>
      </c>
      <c r="I193" s="22">
        <v>0.5</v>
      </c>
    </row>
    <row r="194" spans="1:9" x14ac:dyDescent="0.25">
      <c r="A194" s="18"/>
      <c r="B194" s="19"/>
      <c r="C194" s="18"/>
      <c r="D194" s="21"/>
      <c r="E194" s="18">
        <v>0</v>
      </c>
      <c r="F194" s="21" t="s">
        <v>74</v>
      </c>
      <c r="G194" s="21"/>
      <c r="H194" s="18"/>
      <c r="I194" s="22"/>
    </row>
    <row r="195" spans="1:9" x14ac:dyDescent="0.25">
      <c r="A195" s="18"/>
      <c r="B195" s="19"/>
      <c r="C195" s="18"/>
      <c r="D195" s="21"/>
      <c r="E195" s="18">
        <v>1</v>
      </c>
      <c r="F195" s="21" t="s">
        <v>167</v>
      </c>
      <c r="G195" s="21"/>
      <c r="H195" s="18"/>
      <c r="I195" s="22"/>
    </row>
    <row r="196" spans="1:9" x14ac:dyDescent="0.25">
      <c r="A196" s="18"/>
      <c r="B196" s="19"/>
      <c r="C196" s="18"/>
      <c r="D196" s="21"/>
      <c r="E196" s="18">
        <v>2</v>
      </c>
      <c r="F196" s="21" t="s">
        <v>168</v>
      </c>
      <c r="G196" s="21"/>
      <c r="H196" s="18"/>
      <c r="I196" s="22"/>
    </row>
    <row r="197" spans="1:9" x14ac:dyDescent="0.25">
      <c r="A197" s="18"/>
      <c r="B197" s="19"/>
      <c r="C197" s="18"/>
      <c r="D197" s="21"/>
      <c r="E197" s="18">
        <v>3</v>
      </c>
      <c r="F197" s="21" t="s">
        <v>129</v>
      </c>
      <c r="G197" s="21"/>
      <c r="H197" s="18"/>
      <c r="I197" s="22"/>
    </row>
    <row r="198" spans="1:9" x14ac:dyDescent="0.25">
      <c r="A198" s="18"/>
      <c r="B198" s="19"/>
      <c r="C198" s="24" t="s">
        <v>6</v>
      </c>
      <c r="D198" s="21" t="s">
        <v>109</v>
      </c>
      <c r="E198" s="18"/>
      <c r="F198" s="21"/>
      <c r="G198" s="21"/>
      <c r="H198" s="18">
        <v>5</v>
      </c>
      <c r="I198" s="22">
        <v>0.5</v>
      </c>
    </row>
    <row r="199" spans="1:9" x14ac:dyDescent="0.25">
      <c r="A199" s="18"/>
      <c r="B199" s="19"/>
      <c r="C199" s="18"/>
      <c r="D199" s="21"/>
      <c r="E199" s="18">
        <v>0</v>
      </c>
      <c r="F199" s="21" t="s">
        <v>74</v>
      </c>
      <c r="G199" s="21"/>
      <c r="H199" s="18"/>
      <c r="I199" s="22"/>
    </row>
    <row r="200" spans="1:9" x14ac:dyDescent="0.25">
      <c r="A200" s="18"/>
      <c r="B200" s="19"/>
      <c r="C200" s="18"/>
      <c r="D200" s="21"/>
      <c r="E200" s="18">
        <v>1</v>
      </c>
      <c r="F200" s="21" t="s">
        <v>169</v>
      </c>
      <c r="G200" s="21"/>
      <c r="H200" s="18"/>
      <c r="I200" s="22"/>
    </row>
    <row r="201" spans="1:9" x14ac:dyDescent="0.25">
      <c r="A201" s="18"/>
      <c r="B201" s="19"/>
      <c r="C201" s="18"/>
      <c r="D201" s="21"/>
      <c r="E201" s="18">
        <v>2</v>
      </c>
      <c r="F201" s="21" t="s">
        <v>170</v>
      </c>
      <c r="G201" s="21"/>
      <c r="H201" s="18"/>
      <c r="I201" s="22"/>
    </row>
    <row r="202" spans="1:9" x14ac:dyDescent="0.25">
      <c r="A202" s="18"/>
      <c r="B202" s="19"/>
      <c r="C202" s="18"/>
      <c r="D202" s="21"/>
      <c r="E202" s="18">
        <v>3</v>
      </c>
      <c r="F202" s="21" t="s">
        <v>130</v>
      </c>
      <c r="G202" s="21"/>
      <c r="H202" s="18"/>
      <c r="I202" s="22"/>
    </row>
    <row r="203" spans="1:9" x14ac:dyDescent="0.25">
      <c r="A203" s="18">
        <v>2</v>
      </c>
      <c r="B203" s="19" t="s">
        <v>47</v>
      </c>
      <c r="C203" s="19"/>
      <c r="D203" s="21"/>
      <c r="E203" s="19"/>
      <c r="F203" s="19"/>
      <c r="G203" s="19"/>
      <c r="H203" s="18"/>
      <c r="I203" s="22"/>
    </row>
    <row r="204" spans="1:9" ht="78.75" x14ac:dyDescent="0.25">
      <c r="A204" s="18"/>
      <c r="B204" s="19"/>
      <c r="C204" s="18" t="s">
        <v>5</v>
      </c>
      <c r="D204" s="21" t="s">
        <v>106</v>
      </c>
      <c r="E204" s="19"/>
      <c r="F204" s="21" t="s">
        <v>244</v>
      </c>
      <c r="G204" s="19"/>
      <c r="H204" s="18">
        <v>5</v>
      </c>
      <c r="I204" s="22">
        <v>0.5</v>
      </c>
    </row>
    <row r="205" spans="1:9" x14ac:dyDescent="0.25">
      <c r="A205" s="18"/>
      <c r="B205" s="19"/>
      <c r="C205" s="18" t="s">
        <v>5</v>
      </c>
      <c r="D205" s="21" t="s">
        <v>107</v>
      </c>
      <c r="E205" s="19"/>
      <c r="F205" s="19" t="s">
        <v>245</v>
      </c>
      <c r="G205" s="19"/>
      <c r="H205" s="18">
        <v>5</v>
      </c>
      <c r="I205" s="22">
        <v>0.25</v>
      </c>
    </row>
    <row r="206" spans="1:9" x14ac:dyDescent="0.25">
      <c r="A206" s="18"/>
      <c r="B206" s="19"/>
      <c r="C206" s="24" t="s">
        <v>6</v>
      </c>
      <c r="D206" s="21" t="s">
        <v>107</v>
      </c>
      <c r="E206" s="18"/>
      <c r="F206" s="21"/>
      <c r="G206" s="21"/>
      <c r="H206" s="18">
        <v>5</v>
      </c>
      <c r="I206" s="22">
        <v>0.5</v>
      </c>
    </row>
    <row r="207" spans="1:9" x14ac:dyDescent="0.25">
      <c r="A207" s="18"/>
      <c r="B207" s="19"/>
      <c r="C207" s="18"/>
      <c r="D207" s="21"/>
      <c r="E207" s="18">
        <v>0</v>
      </c>
      <c r="F207" s="21" t="s">
        <v>74</v>
      </c>
      <c r="G207" s="21"/>
      <c r="H207" s="18"/>
      <c r="I207" s="22"/>
    </row>
    <row r="208" spans="1:9" x14ac:dyDescent="0.25">
      <c r="A208" s="18"/>
      <c r="B208" s="19"/>
      <c r="C208" s="18"/>
      <c r="D208" s="21"/>
      <c r="E208" s="18">
        <v>1</v>
      </c>
      <c r="F208" s="21" t="s">
        <v>171</v>
      </c>
      <c r="G208" s="21"/>
      <c r="H208" s="18"/>
      <c r="I208" s="22"/>
    </row>
    <row r="209" spans="1:9" x14ac:dyDescent="0.25">
      <c r="A209" s="18"/>
      <c r="B209" s="19"/>
      <c r="C209" s="18"/>
      <c r="D209" s="21"/>
      <c r="E209" s="18">
        <v>2</v>
      </c>
      <c r="F209" s="21" t="s">
        <v>173</v>
      </c>
      <c r="G209" s="21"/>
      <c r="H209" s="18"/>
      <c r="I209" s="22"/>
    </row>
    <row r="210" spans="1:9" ht="31.5" x14ac:dyDescent="0.25">
      <c r="A210" s="18"/>
      <c r="B210" s="19"/>
      <c r="C210" s="18"/>
      <c r="D210" s="21"/>
      <c r="E210" s="18">
        <v>3</v>
      </c>
      <c r="F210" s="21" t="s">
        <v>172</v>
      </c>
      <c r="G210" s="21"/>
      <c r="H210" s="18"/>
      <c r="I210" s="22"/>
    </row>
    <row r="211" spans="1:9" x14ac:dyDescent="0.25">
      <c r="A211" s="18"/>
      <c r="B211" s="19"/>
      <c r="C211" s="24" t="s">
        <v>6</v>
      </c>
      <c r="D211" s="21" t="s">
        <v>107</v>
      </c>
      <c r="E211" s="18"/>
      <c r="F211" s="21"/>
      <c r="G211" s="21"/>
      <c r="H211" s="18">
        <v>5</v>
      </c>
      <c r="I211" s="22">
        <v>0.25</v>
      </c>
    </row>
    <row r="212" spans="1:9" x14ac:dyDescent="0.25">
      <c r="A212" s="18"/>
      <c r="B212" s="19"/>
      <c r="C212" s="18"/>
      <c r="D212" s="21"/>
      <c r="E212" s="18">
        <v>0</v>
      </c>
      <c r="F212" s="21" t="s">
        <v>74</v>
      </c>
      <c r="G212" s="21"/>
      <c r="H212" s="18"/>
      <c r="I212" s="22"/>
    </row>
    <row r="213" spans="1:9" x14ac:dyDescent="0.25">
      <c r="A213" s="18"/>
      <c r="B213" s="19"/>
      <c r="C213" s="18"/>
      <c r="D213" s="21"/>
      <c r="E213" s="18">
        <v>1</v>
      </c>
      <c r="F213" s="21" t="s">
        <v>174</v>
      </c>
      <c r="G213" s="21"/>
      <c r="H213" s="18"/>
      <c r="I213" s="22"/>
    </row>
    <row r="214" spans="1:9" x14ac:dyDescent="0.25">
      <c r="A214" s="18"/>
      <c r="B214" s="19"/>
      <c r="C214" s="18"/>
      <c r="D214" s="21"/>
      <c r="E214" s="18">
        <v>2</v>
      </c>
      <c r="F214" s="21" t="s">
        <v>175</v>
      </c>
      <c r="G214" s="21"/>
      <c r="H214" s="18"/>
      <c r="I214" s="22"/>
    </row>
    <row r="215" spans="1:9" x14ac:dyDescent="0.25">
      <c r="A215" s="18"/>
      <c r="B215" s="19"/>
      <c r="C215" s="18"/>
      <c r="D215" s="21"/>
      <c r="E215" s="18">
        <v>3</v>
      </c>
      <c r="F215" s="21" t="s">
        <v>131</v>
      </c>
      <c r="G215" s="21"/>
      <c r="H215" s="18"/>
      <c r="I215" s="22"/>
    </row>
    <row r="216" spans="1:9" x14ac:dyDescent="0.25">
      <c r="A216" s="18">
        <v>3</v>
      </c>
      <c r="B216" s="19" t="s">
        <v>110</v>
      </c>
      <c r="C216" s="19"/>
      <c r="D216" s="21"/>
      <c r="E216" s="19"/>
      <c r="F216" s="19"/>
      <c r="G216" s="19"/>
      <c r="H216" s="18"/>
      <c r="I216" s="22"/>
    </row>
    <row r="217" spans="1:9" ht="78.75" x14ac:dyDescent="0.25">
      <c r="A217" s="18"/>
      <c r="B217" s="19"/>
      <c r="C217" s="18" t="s">
        <v>5</v>
      </c>
      <c r="D217" s="21" t="s">
        <v>111</v>
      </c>
      <c r="E217" s="19"/>
      <c r="F217" s="21" t="s">
        <v>246</v>
      </c>
      <c r="G217" s="19"/>
      <c r="H217" s="18">
        <v>3</v>
      </c>
      <c r="I217" s="22">
        <v>2</v>
      </c>
    </row>
    <row r="218" spans="1:9" ht="63" x14ac:dyDescent="0.25">
      <c r="A218" s="18"/>
      <c r="B218" s="19"/>
      <c r="C218" s="18" t="s">
        <v>5</v>
      </c>
      <c r="D218" s="21" t="s">
        <v>112</v>
      </c>
      <c r="E218" s="19"/>
      <c r="F218" s="21" t="s">
        <v>247</v>
      </c>
      <c r="G218" s="19"/>
      <c r="H218" s="18">
        <v>5</v>
      </c>
      <c r="I218" s="22">
        <v>1.5</v>
      </c>
    </row>
    <row r="219" spans="1:9" ht="31.5" x14ac:dyDescent="0.25">
      <c r="A219" s="18"/>
      <c r="B219" s="19"/>
      <c r="C219" s="18" t="s">
        <v>5</v>
      </c>
      <c r="D219" s="21" t="s">
        <v>113</v>
      </c>
      <c r="E219" s="19"/>
      <c r="F219" s="21" t="s">
        <v>248</v>
      </c>
      <c r="G219" s="19"/>
      <c r="H219" s="18">
        <v>5</v>
      </c>
      <c r="I219" s="22">
        <v>1</v>
      </c>
    </row>
    <row r="220" spans="1:9" ht="78.75" x14ac:dyDescent="0.25">
      <c r="A220" s="18"/>
      <c r="B220" s="19"/>
      <c r="C220" s="18" t="s">
        <v>5</v>
      </c>
      <c r="D220" s="21" t="s">
        <v>292</v>
      </c>
      <c r="E220" s="18"/>
      <c r="F220" s="21" t="s">
        <v>305</v>
      </c>
      <c r="G220" s="21"/>
      <c r="H220" s="18">
        <v>5</v>
      </c>
      <c r="I220" s="22">
        <v>1.5</v>
      </c>
    </row>
    <row r="221" spans="1:9" ht="63" x14ac:dyDescent="0.25">
      <c r="A221" s="18"/>
      <c r="B221" s="19"/>
      <c r="C221" s="18" t="s">
        <v>5</v>
      </c>
      <c r="D221" s="21" t="s">
        <v>293</v>
      </c>
      <c r="E221" s="18"/>
      <c r="F221" s="21"/>
      <c r="G221" s="21"/>
      <c r="H221" s="18">
        <v>5</v>
      </c>
      <c r="I221" s="22">
        <v>1</v>
      </c>
    </row>
    <row r="222" spans="1:9" ht="47.25" x14ac:dyDescent="0.25">
      <c r="A222" s="18"/>
      <c r="B222" s="19"/>
      <c r="C222" s="18" t="s">
        <v>5</v>
      </c>
      <c r="D222" s="21" t="s">
        <v>294</v>
      </c>
      <c r="E222" s="18"/>
      <c r="F222" s="21" t="s">
        <v>295</v>
      </c>
      <c r="G222" s="21"/>
      <c r="H222" s="18">
        <v>5</v>
      </c>
      <c r="I222" s="22">
        <v>1</v>
      </c>
    </row>
    <row r="223" spans="1:9" ht="63" x14ac:dyDescent="0.25">
      <c r="A223" s="18"/>
      <c r="B223" s="19"/>
      <c r="C223" s="18" t="s">
        <v>5</v>
      </c>
      <c r="D223" s="21" t="s">
        <v>296</v>
      </c>
      <c r="E223" s="18"/>
      <c r="F223" s="21" t="s">
        <v>297</v>
      </c>
      <c r="G223" s="21"/>
      <c r="H223" s="18">
        <v>4</v>
      </c>
      <c r="I223" s="22">
        <v>2</v>
      </c>
    </row>
    <row r="224" spans="1:9" x14ac:dyDescent="0.25">
      <c r="A224" s="18"/>
      <c r="B224" s="19"/>
      <c r="C224" s="18"/>
      <c r="D224" s="21"/>
      <c r="E224" s="18"/>
      <c r="F224" s="21"/>
      <c r="G224" s="21"/>
      <c r="H224" s="18"/>
      <c r="I224" s="22"/>
    </row>
    <row r="225" spans="1:9" x14ac:dyDescent="0.25">
      <c r="A225" s="18">
        <v>4</v>
      </c>
      <c r="B225" s="19" t="s">
        <v>114</v>
      </c>
      <c r="C225" s="19"/>
      <c r="D225" s="21"/>
      <c r="E225" s="19"/>
      <c r="F225" s="19"/>
      <c r="G225" s="19"/>
      <c r="H225" s="18"/>
      <c r="I225" s="22"/>
    </row>
    <row r="226" spans="1:9" ht="78.75" x14ac:dyDescent="0.25">
      <c r="A226" s="18"/>
      <c r="B226" s="19"/>
      <c r="C226" s="18" t="s">
        <v>5</v>
      </c>
      <c r="D226" s="21" t="s">
        <v>115</v>
      </c>
      <c r="E226" s="19"/>
      <c r="F226" s="21" t="s">
        <v>249</v>
      </c>
      <c r="G226" s="19"/>
      <c r="H226" s="18">
        <v>6</v>
      </c>
      <c r="I226" s="22">
        <v>1</v>
      </c>
    </row>
    <row r="227" spans="1:9" ht="63" x14ac:dyDescent="0.25">
      <c r="A227" s="18"/>
      <c r="B227" s="19"/>
      <c r="C227" s="18" t="s">
        <v>5</v>
      </c>
      <c r="D227" s="21" t="s">
        <v>116</v>
      </c>
      <c r="E227" s="19"/>
      <c r="F227" s="21" t="s">
        <v>250</v>
      </c>
      <c r="G227" s="19"/>
      <c r="H227" s="18">
        <v>6</v>
      </c>
      <c r="I227" s="22">
        <v>1.25</v>
      </c>
    </row>
    <row r="228" spans="1:9" ht="31.5" x14ac:dyDescent="0.25">
      <c r="A228" s="18"/>
      <c r="B228" s="19"/>
      <c r="C228" s="18" t="s">
        <v>5</v>
      </c>
      <c r="D228" s="21" t="s">
        <v>117</v>
      </c>
      <c r="E228" s="19"/>
      <c r="F228" s="19" t="s">
        <v>251</v>
      </c>
      <c r="G228" s="19"/>
      <c r="H228" s="18">
        <v>6</v>
      </c>
      <c r="I228" s="22">
        <v>1</v>
      </c>
    </row>
    <row r="229" spans="1:9" ht="141.75" x14ac:dyDescent="0.25">
      <c r="A229" s="18"/>
      <c r="B229" s="19"/>
      <c r="C229" s="18" t="s">
        <v>5</v>
      </c>
      <c r="D229" s="21" t="s">
        <v>134</v>
      </c>
      <c r="E229" s="19"/>
      <c r="F229" s="21" t="s">
        <v>252</v>
      </c>
      <c r="G229" s="19"/>
      <c r="H229" s="18">
        <v>6</v>
      </c>
      <c r="I229" s="22">
        <v>2</v>
      </c>
    </row>
    <row r="230" spans="1:9" ht="78.75" x14ac:dyDescent="0.25">
      <c r="A230" s="18"/>
      <c r="B230" s="19"/>
      <c r="C230" s="18" t="s">
        <v>5</v>
      </c>
      <c r="D230" s="21" t="s">
        <v>118</v>
      </c>
      <c r="E230" s="19"/>
      <c r="F230" s="21" t="s">
        <v>253</v>
      </c>
      <c r="G230" s="19"/>
      <c r="H230" s="18">
        <v>6</v>
      </c>
      <c r="I230" s="22">
        <v>1.5</v>
      </c>
    </row>
    <row r="231" spans="1:9" ht="31.5" x14ac:dyDescent="0.25">
      <c r="A231" s="18"/>
      <c r="B231" s="19"/>
      <c r="C231" s="18" t="s">
        <v>5</v>
      </c>
      <c r="D231" s="21" t="s">
        <v>119</v>
      </c>
      <c r="E231" s="19"/>
      <c r="F231" s="19" t="s">
        <v>254</v>
      </c>
      <c r="G231" s="19"/>
      <c r="H231" s="18">
        <v>6</v>
      </c>
      <c r="I231" s="22">
        <v>0.5</v>
      </c>
    </row>
    <row r="232" spans="1:9" ht="47.25" x14ac:dyDescent="0.25">
      <c r="A232" s="18"/>
      <c r="B232" s="19"/>
      <c r="C232" s="18" t="s">
        <v>5</v>
      </c>
      <c r="D232" s="21" t="s">
        <v>120</v>
      </c>
      <c r="E232" s="19"/>
      <c r="F232" s="21" t="s">
        <v>255</v>
      </c>
      <c r="G232" s="19"/>
      <c r="H232" s="18">
        <v>6</v>
      </c>
      <c r="I232" s="22">
        <v>0.5</v>
      </c>
    </row>
    <row r="233" spans="1:9" x14ac:dyDescent="0.25">
      <c r="A233" s="34"/>
      <c r="B233" s="33"/>
      <c r="C233" s="24" t="s">
        <v>6</v>
      </c>
      <c r="D233" s="21" t="s">
        <v>115</v>
      </c>
      <c r="E233" s="18"/>
      <c r="F233" s="21"/>
      <c r="G233" s="21"/>
      <c r="H233" s="18">
        <v>6</v>
      </c>
      <c r="I233" s="22">
        <v>0.5</v>
      </c>
    </row>
    <row r="234" spans="1:9" x14ac:dyDescent="0.25">
      <c r="A234" s="34"/>
      <c r="B234" s="33"/>
      <c r="C234" s="18"/>
      <c r="D234" s="21"/>
      <c r="E234" s="18">
        <v>0</v>
      </c>
      <c r="F234" s="21" t="s">
        <v>74</v>
      </c>
      <c r="G234" s="21"/>
      <c r="H234" s="18"/>
      <c r="I234" s="22"/>
    </row>
    <row r="235" spans="1:9" x14ac:dyDescent="0.25">
      <c r="A235" s="34"/>
      <c r="B235" s="33"/>
      <c r="C235" s="18"/>
      <c r="D235" s="21"/>
      <c r="E235" s="18">
        <v>1</v>
      </c>
      <c r="F235" s="21" t="s">
        <v>176</v>
      </c>
      <c r="G235" s="21"/>
      <c r="H235" s="18"/>
      <c r="I235" s="22"/>
    </row>
    <row r="236" spans="1:9" x14ac:dyDescent="0.25">
      <c r="A236" s="34"/>
      <c r="B236" s="33"/>
      <c r="C236" s="18"/>
      <c r="D236" s="21"/>
      <c r="E236" s="18">
        <v>2</v>
      </c>
      <c r="F236" s="21" t="s">
        <v>177</v>
      </c>
      <c r="G236" s="21"/>
      <c r="H236" s="18"/>
      <c r="I236" s="22"/>
    </row>
    <row r="237" spans="1:9" x14ac:dyDescent="0.25">
      <c r="A237" s="34"/>
      <c r="B237" s="33"/>
      <c r="C237" s="18"/>
      <c r="D237" s="21"/>
      <c r="E237" s="18">
        <v>3</v>
      </c>
      <c r="F237" s="21" t="s">
        <v>132</v>
      </c>
      <c r="G237" s="21"/>
      <c r="H237" s="18"/>
      <c r="I237" s="22"/>
    </row>
    <row r="238" spans="1:9" x14ac:dyDescent="0.25">
      <c r="A238" s="34"/>
      <c r="B238" s="33"/>
      <c r="C238" s="24" t="s">
        <v>6</v>
      </c>
      <c r="D238" s="21" t="s">
        <v>134</v>
      </c>
      <c r="E238" s="18"/>
      <c r="F238" s="21"/>
      <c r="G238" s="21"/>
      <c r="H238" s="18">
        <v>6</v>
      </c>
      <c r="I238" s="22">
        <v>1.75</v>
      </c>
    </row>
    <row r="239" spans="1:9" x14ac:dyDescent="0.25">
      <c r="A239" s="34"/>
      <c r="B239" s="33"/>
      <c r="C239" s="18"/>
      <c r="D239" s="21"/>
      <c r="E239" s="18">
        <v>0</v>
      </c>
      <c r="F239" s="21" t="s">
        <v>74</v>
      </c>
      <c r="G239" s="21"/>
      <c r="H239" s="18"/>
      <c r="I239" s="22"/>
    </row>
    <row r="240" spans="1:9" x14ac:dyDescent="0.25">
      <c r="A240" s="34"/>
      <c r="B240" s="33"/>
      <c r="C240" s="18"/>
      <c r="D240" s="21"/>
      <c r="E240" s="18">
        <v>1</v>
      </c>
      <c r="F240" s="21" t="s">
        <v>178</v>
      </c>
      <c r="G240" s="21"/>
      <c r="H240" s="18"/>
      <c r="I240" s="22"/>
    </row>
    <row r="241" spans="1:10" x14ac:dyDescent="0.25">
      <c r="A241" s="34"/>
      <c r="B241" s="33"/>
      <c r="C241" s="18"/>
      <c r="D241" s="21"/>
      <c r="E241" s="18">
        <v>2</v>
      </c>
      <c r="F241" s="21" t="s">
        <v>179</v>
      </c>
      <c r="G241" s="21"/>
      <c r="H241" s="18"/>
      <c r="I241" s="22"/>
    </row>
    <row r="242" spans="1:10" x14ac:dyDescent="0.25">
      <c r="A242" s="34"/>
      <c r="B242" s="33"/>
      <c r="C242" s="18"/>
      <c r="D242" s="21"/>
      <c r="E242" s="18">
        <v>3</v>
      </c>
      <c r="F242" s="21" t="s">
        <v>133</v>
      </c>
      <c r="G242" s="21"/>
      <c r="H242" s="18"/>
      <c r="I242" s="22"/>
    </row>
    <row r="243" spans="1:10" x14ac:dyDescent="0.25">
      <c r="A243" s="32"/>
      <c r="B243" s="33"/>
      <c r="C243" s="34"/>
      <c r="D243" s="21"/>
      <c r="E243" s="18"/>
      <c r="F243" s="21"/>
      <c r="G243" s="21"/>
      <c r="H243" s="31"/>
      <c r="I243" s="23"/>
    </row>
    <row r="244" spans="1:10" ht="29.25" customHeight="1" x14ac:dyDescent="0.25">
      <c r="A244" s="45"/>
      <c r="B244" s="46"/>
      <c r="C244" s="47"/>
      <c r="D244" s="48"/>
      <c r="E244" s="49"/>
      <c r="F244" s="50" t="s">
        <v>11</v>
      </c>
      <c r="G244" s="50"/>
      <c r="H244" s="51"/>
      <c r="I244" s="52">
        <f>SUM(I5:I242)/2</f>
        <v>100</v>
      </c>
      <c r="J244" s="11"/>
    </row>
    <row r="245" spans="1:10" x14ac:dyDescent="0.25">
      <c r="F245" s="12"/>
      <c r="G245" s="13"/>
      <c r="H245" s="13"/>
      <c r="I245" s="14"/>
      <c r="J245" s="11"/>
    </row>
    <row r="246" spans="1:10" x14ac:dyDescent="0.25">
      <c r="F246" s="12"/>
      <c r="G246" s="13"/>
      <c r="H246" s="13"/>
      <c r="I246" s="14"/>
      <c r="J246" s="11"/>
    </row>
  </sheetData>
  <pageMargins left="0.7" right="0.7" top="0.75" bottom="0.75" header="0.3" footer="0.3"/>
  <pageSetup paperSize="9" scale="4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12" sqref="B12"/>
    </sheetView>
  </sheetViews>
  <sheetFormatPr defaultColWidth="11" defaultRowHeight="15.75" x14ac:dyDescent="0.25"/>
  <cols>
    <col min="1" max="1" width="11" style="53"/>
    <col min="2" max="2" width="56.875" style="56" customWidth="1"/>
    <col min="3" max="16384" width="11" style="53"/>
  </cols>
  <sheetData>
    <row r="1" spans="1:2" ht="27.95" customHeight="1" x14ac:dyDescent="0.25">
      <c r="A1" s="57" t="s">
        <v>15</v>
      </c>
      <c r="B1" s="57"/>
    </row>
    <row r="2" spans="1:2" x14ac:dyDescent="0.25">
      <c r="A2" s="54">
        <v>1</v>
      </c>
      <c r="B2" s="55" t="s">
        <v>307</v>
      </c>
    </row>
    <row r="3" spans="1:2" x14ac:dyDescent="0.25">
      <c r="A3" s="54">
        <v>2</v>
      </c>
      <c r="B3" s="55" t="s">
        <v>180</v>
      </c>
    </row>
    <row r="4" spans="1:2" x14ac:dyDescent="0.25">
      <c r="A4" s="54">
        <v>3</v>
      </c>
      <c r="B4" s="55" t="s">
        <v>181</v>
      </c>
    </row>
    <row r="5" spans="1:2" x14ac:dyDescent="0.25">
      <c r="A5" s="54">
        <v>4</v>
      </c>
      <c r="B5" s="55" t="s">
        <v>182</v>
      </c>
    </row>
    <row r="6" spans="1:2" x14ac:dyDescent="0.25">
      <c r="A6" s="54">
        <v>5</v>
      </c>
      <c r="B6" s="55" t="s">
        <v>183</v>
      </c>
    </row>
    <row r="7" spans="1:2" x14ac:dyDescent="0.25">
      <c r="A7" s="54">
        <v>6</v>
      </c>
      <c r="B7" s="55" t="s">
        <v>184</v>
      </c>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Критерии оценки</vt:lpstr>
      <vt:lpstr>Перечень профессиональных задач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Microsoft Office</dc:creator>
  <cp:lastModifiedBy>Дамеловская Татьяна Александровна</cp:lastModifiedBy>
  <cp:lastPrinted>2025-04-01T12:20:06Z</cp:lastPrinted>
  <dcterms:created xsi:type="dcterms:W3CDTF">2022-11-09T22:53:43Z</dcterms:created>
  <dcterms:modified xsi:type="dcterms:W3CDTF">2025-10-02T13:42:02Z</dcterms:modified>
</cp:coreProperties>
</file>